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 DATA SHEET" sheetId="1" r:id="rId4"/>
    <sheet state="hidden" name="Sheet10" sheetId="2" r:id="rId5"/>
    <sheet state="hidden" name="Sheet9" sheetId="3" r:id="rId6"/>
    <sheet state="hidden" name="Sheet8" sheetId="4" r:id="rId7"/>
    <sheet state="hidden" name="Sheet7" sheetId="5" r:id="rId8"/>
    <sheet state="hidden" name="Sheet6" sheetId="6" r:id="rId9"/>
    <sheet state="hidden" name="Sheet5" sheetId="7" r:id="rId10"/>
    <sheet state="hidden" name="Sheet4" sheetId="8" r:id="rId11"/>
    <sheet state="hidden" name="Sheet3" sheetId="9" r:id="rId12"/>
    <sheet state="hidden" name="Sheet2" sheetId="10" r:id="rId13"/>
    <sheet state="hidden" name="june 6" sheetId="11" r:id="rId14"/>
    <sheet state="visible" name="PARTAL REPORT " sheetId="12" r:id="rId15"/>
    <sheet state="hidden" name="AUG TILL DATE " sheetId="13" r:id="rId16"/>
    <sheet state="hidden" name="Sheet1" sheetId="14" r:id="rId17"/>
    <sheet state="hidden" name="GRINDING" sheetId="15" r:id="rId18"/>
  </sheets>
  <externalReferences>
    <externalReference r:id="rId19"/>
  </externalReferences>
  <definedNames/>
  <calcPr/>
  <extLst>
    <ext uri="GoogleSheetsCustomDataVersion2">
      <go:sheetsCustomData xmlns:go="http://customooxmlschemas.google.com/" r:id="rId20" roundtripDataChecksum="ALDY/3vhGxw9oy3CMQrAuJ4iEhdCgjkh4m+TZ4ZB56E="/>
    </ext>
  </extLst>
</workbook>
</file>

<file path=xl/sharedStrings.xml><?xml version="1.0" encoding="utf-8"?>
<sst xmlns="http://schemas.openxmlformats.org/spreadsheetml/2006/main" count="738" uniqueCount="312">
  <si>
    <t>Report dt 25-06-2026</t>
  </si>
  <si>
    <t xml:space="preserve">FINISH  STOCK  </t>
  </si>
  <si>
    <t>SALES REPORT</t>
  </si>
  <si>
    <t>SALES PENDING  SOUDA</t>
  </si>
  <si>
    <t xml:space="preserve">PRODUCT </t>
  </si>
  <si>
    <t xml:space="preserve">KATTA </t>
  </si>
  <si>
    <t>IN QTL</t>
  </si>
  <si>
    <t>in%</t>
  </si>
  <si>
    <t>IN %</t>
  </si>
  <si>
    <t xml:space="preserve">AMOUNT </t>
  </si>
  <si>
    <t>MAIDA BAKERY</t>
  </si>
  <si>
    <t>MAIDA PREMIUM 50 KG</t>
  </si>
  <si>
    <t>MAIDA 30</t>
  </si>
  <si>
    <t>MAIDA 30KG</t>
  </si>
  <si>
    <t>MAIDA LEMINATION  50 KG</t>
  </si>
  <si>
    <t>BRAN FINE  LOOSE</t>
  </si>
  <si>
    <t>REFINED WHEAT FLOUR (MAIDA) 50KG</t>
  </si>
  <si>
    <t>Bran Fine 49 KG</t>
  </si>
  <si>
    <t>SOOJI50</t>
  </si>
  <si>
    <t>SOOJI 50 KG</t>
  </si>
  <si>
    <t>Bran ROUGH 39 KG-Non Branded</t>
  </si>
  <si>
    <t>SOOJI30</t>
  </si>
  <si>
    <t>Sooji 30 Kgs</t>
  </si>
  <si>
    <t>DELUX BRAN 49KG</t>
  </si>
  <si>
    <t>RAWA 50</t>
  </si>
  <si>
    <t>Rawa 50 kg</t>
  </si>
  <si>
    <t>RAWA 30</t>
  </si>
  <si>
    <t>Rawa 30 Kg</t>
  </si>
  <si>
    <t>TM50</t>
  </si>
  <si>
    <t>TANDORI MAIDA 50 KG</t>
  </si>
  <si>
    <t>MAIZE</t>
  </si>
  <si>
    <t>CA50</t>
  </si>
  <si>
    <t>CA30</t>
  </si>
  <si>
    <t>FINE BRAN 40 KG</t>
  </si>
  <si>
    <t>COURS BRAN</t>
  </si>
  <si>
    <t>FINE BRAN</t>
  </si>
  <si>
    <t xml:space="preserve">DELUX BRAN </t>
  </si>
  <si>
    <t>POWER MESS ( C F )</t>
  </si>
  <si>
    <t>BRAN FINE  40 KG</t>
  </si>
  <si>
    <t>TOTAL</t>
  </si>
  <si>
    <t xml:space="preserve">AV RATE </t>
  </si>
  <si>
    <t xml:space="preserve">SAUDA  RATE </t>
  </si>
  <si>
    <t>रिपोर्ट दिनाक</t>
  </si>
  <si>
    <t xml:space="preserve">  </t>
  </si>
  <si>
    <t xml:space="preserve">                                           TODAYS  PPODUCTION</t>
  </si>
  <si>
    <t xml:space="preserve">SALESMAN WISE SALES REPORT </t>
  </si>
  <si>
    <t>ओसत  पिसाई के अनुसार</t>
  </si>
  <si>
    <t>Row Labels</t>
  </si>
  <si>
    <t>ADITYA</t>
  </si>
  <si>
    <t>KAILASH SHARMA</t>
  </si>
  <si>
    <t>ADMIN</t>
  </si>
  <si>
    <t>मिल पिसाई</t>
  </si>
  <si>
    <t>QTL</t>
  </si>
  <si>
    <t xml:space="preserve">MAIDA </t>
  </si>
  <si>
    <t>चक्की पिसाई</t>
  </si>
  <si>
    <t>मिल कुल पिसाई</t>
  </si>
  <si>
    <t>चक्की कुल पिसाई</t>
  </si>
  <si>
    <t>LEMINATION MAIDA  50 KG</t>
  </si>
  <si>
    <t>टोटल मिल औरचक्की</t>
  </si>
  <si>
    <t>ओसतपिसाई मिल</t>
  </si>
  <si>
    <t>QTL PER DAY</t>
  </si>
  <si>
    <t>ओसतपिसाई चक्की</t>
  </si>
  <si>
    <t>फाइन ब्रान</t>
  </si>
  <si>
    <t>सुपर डिलक्स ब्रान</t>
  </si>
  <si>
    <t>डिलक्स ब्रान</t>
  </si>
  <si>
    <t>जाड़ा ब्रान</t>
  </si>
  <si>
    <t>कुल ब्रान</t>
  </si>
  <si>
    <t>Bran Fine 40 KG</t>
  </si>
  <si>
    <t>ब्रान चक्की</t>
  </si>
  <si>
    <t>लोड</t>
  </si>
  <si>
    <t>भुशी चली</t>
  </si>
  <si>
    <t>क्लाशियम</t>
  </si>
  <si>
    <t>स्टॉक</t>
  </si>
  <si>
    <t>SUPER FINE BRAN</t>
  </si>
  <si>
    <t>कनकी</t>
  </si>
  <si>
    <t>MOISTURE</t>
  </si>
  <si>
    <t>MAIDA 1</t>
  </si>
  <si>
    <t>MAIDA 2</t>
  </si>
  <si>
    <t xml:space="preserve">AVERAGE </t>
  </si>
  <si>
    <t xml:space="preserve">MILL GRINDING </t>
  </si>
  <si>
    <t xml:space="preserve">WHEAT STOCK </t>
  </si>
  <si>
    <t>TODAY</t>
  </si>
  <si>
    <t>TODATE</t>
  </si>
  <si>
    <t>AVG</t>
  </si>
  <si>
    <t>YESTERDAY</t>
  </si>
  <si>
    <t>OP</t>
  </si>
  <si>
    <t>SALE</t>
  </si>
  <si>
    <t xml:space="preserve">PARLE </t>
  </si>
  <si>
    <t>RECIV</t>
  </si>
  <si>
    <t>SALE VALUE</t>
  </si>
  <si>
    <t xml:space="preserve">SOOJI </t>
  </si>
  <si>
    <t>TILL DATE</t>
  </si>
  <si>
    <t>SALE RATE</t>
  </si>
  <si>
    <t>GRINDING</t>
  </si>
  <si>
    <t>Transport sale</t>
  </si>
  <si>
    <t>MILL STOP REPORT</t>
  </si>
  <si>
    <t>CL</t>
  </si>
  <si>
    <t xml:space="preserve">CASH CD  AMOUNT </t>
  </si>
  <si>
    <t>BD</t>
  </si>
  <si>
    <t>TOTAL MILL STOP</t>
  </si>
  <si>
    <t xml:space="preserve"> </t>
  </si>
  <si>
    <t xml:space="preserve">SALE  RATE NET </t>
  </si>
  <si>
    <t>BF</t>
  </si>
  <si>
    <t>TOTAL RUNNING</t>
  </si>
  <si>
    <t xml:space="preserve">CL </t>
  </si>
  <si>
    <t>SALES RETUREN</t>
  </si>
  <si>
    <t>DELUX</t>
  </si>
  <si>
    <t>.</t>
  </si>
  <si>
    <t>SALES RETUREN AMOUNT</t>
  </si>
  <si>
    <t>MAIDA LAB REPORT</t>
  </si>
  <si>
    <t>MAIDA TRANSPORT</t>
  </si>
  <si>
    <t xml:space="preserve">WHEAT MOISTURE </t>
  </si>
  <si>
    <t>W.P</t>
  </si>
  <si>
    <t>ASH</t>
  </si>
  <si>
    <t>DIFFERENCE</t>
  </si>
  <si>
    <t>GLUTEN</t>
  </si>
  <si>
    <t>SEDIMENTATION</t>
  </si>
  <si>
    <t>PURCH. QTY</t>
  </si>
  <si>
    <t xml:space="preserve">BREAD HIGHT </t>
  </si>
  <si>
    <t>MM</t>
  </si>
  <si>
    <t>PURCH. VALUE</t>
  </si>
  <si>
    <t>AT A GLANCE</t>
  </si>
  <si>
    <t>Sundry Creditors (Wheat A/c)</t>
  </si>
  <si>
    <t>0</t>
  </si>
  <si>
    <t>PURCH. RATE</t>
  </si>
  <si>
    <t xml:space="preserve">FINISH STOCK CL </t>
  </si>
  <si>
    <t xml:space="preserve">Creditors advance </t>
  </si>
  <si>
    <t>Bf</t>
  </si>
  <si>
    <t xml:space="preserve">SALES  TODAY </t>
  </si>
  <si>
    <t>sundry debtors</t>
  </si>
  <si>
    <t xml:space="preserve">Diff SALE PUR NET </t>
  </si>
  <si>
    <t>BR50</t>
  </si>
  <si>
    <t xml:space="preserve">PRODUCTION TODAY </t>
  </si>
  <si>
    <t xml:space="preserve">advance </t>
  </si>
  <si>
    <t xml:space="preserve">Diff SALE PUR </t>
  </si>
  <si>
    <t>M50</t>
  </si>
  <si>
    <t xml:space="preserve">SOUDA </t>
  </si>
  <si>
    <t>MA50</t>
  </si>
  <si>
    <t xml:space="preserve">GRINDING </t>
  </si>
  <si>
    <t xml:space="preserve">    JUTE BAGS STOCK                                         </t>
  </si>
  <si>
    <t>WHEAT  STOCK</t>
  </si>
  <si>
    <t>PARTICULARS</t>
  </si>
  <si>
    <t>Clo. Bundle</t>
  </si>
  <si>
    <t>CLO. BAGS</t>
  </si>
  <si>
    <t>wheat stock</t>
  </si>
  <si>
    <t>TOTAL PURCHSE</t>
  </si>
  <si>
    <t>FCI JUTE 1 NO.</t>
  </si>
  <si>
    <t>CARGIL-CHOMU</t>
  </si>
  <si>
    <t xml:space="preserve">TOTAL SALES </t>
  </si>
  <si>
    <t>2 NO. Market</t>
  </si>
  <si>
    <t>CARGIL-ETAH</t>
  </si>
  <si>
    <t>3 NO. Market</t>
  </si>
  <si>
    <t>ITC -BADAUN</t>
  </si>
  <si>
    <t>POWER CONSUMPTION</t>
  </si>
  <si>
    <t>JUTE BORI</t>
  </si>
  <si>
    <t>ITC DABRA</t>
  </si>
  <si>
    <t>ITC DATIA</t>
  </si>
  <si>
    <t>CONSUMPTION</t>
  </si>
  <si>
    <t>YET TO DATE</t>
  </si>
  <si>
    <t>ITC- ETAH</t>
  </si>
  <si>
    <t>UNIT CONSUMED</t>
  </si>
  <si>
    <t>ITC- HARDOI</t>
  </si>
  <si>
    <t>FCI PP</t>
  </si>
  <si>
    <t>ITC Lalitpur</t>
  </si>
  <si>
    <t>UNIT PER QTL</t>
  </si>
  <si>
    <t>FCI PP2</t>
  </si>
  <si>
    <t>Main Location</t>
  </si>
  <si>
    <t>RATE OF UNIT</t>
  </si>
  <si>
    <t>MARKET PP</t>
  </si>
  <si>
    <t>ELE COST PER BAG</t>
  </si>
  <si>
    <t>PALTI</t>
  </si>
  <si>
    <t>BHUSHI PP</t>
  </si>
  <si>
    <t xml:space="preserve">  TOTAL BUNDLE</t>
  </si>
  <si>
    <t>ATTENDANCE</t>
  </si>
  <si>
    <t>PRESENT</t>
  </si>
  <si>
    <t>ABSENT</t>
  </si>
  <si>
    <t xml:space="preserve">ADMIN </t>
  </si>
  <si>
    <t xml:space="preserve">GENERAL </t>
  </si>
  <si>
    <t>MILL STAFF</t>
  </si>
  <si>
    <t>SECURITY</t>
  </si>
  <si>
    <t xml:space="preserve">PACKING </t>
  </si>
  <si>
    <t xml:space="preserve">LOADING </t>
  </si>
  <si>
    <t>UNLOADING</t>
  </si>
  <si>
    <t xml:space="preserve">BARDANA </t>
  </si>
  <si>
    <t>per</t>
  </si>
  <si>
    <t>month</t>
  </si>
  <si>
    <t>av per day</t>
  </si>
  <si>
    <t>Sum of Acutal Quantity</t>
  </si>
  <si>
    <t>Sum of Amount</t>
  </si>
  <si>
    <t>WHEAT FLOUR (MAIDA LEMINATION ) 50 KG</t>
  </si>
  <si>
    <t>Grand Total</t>
  </si>
  <si>
    <t>To,</t>
  </si>
  <si>
    <t>SHREE SANVALIYA TRADING CO</t>
  </si>
  <si>
    <t>FIRST FLOOR, 16/BLOCK -B, APMC,RUPANTAR MILL</t>
  </si>
  <si>
    <t>COMPOUND, ANAJ MARKET ROAD, DAHOD</t>
  </si>
  <si>
    <t>Dahod, Gujarat,38915</t>
  </si>
  <si>
    <t>From ,</t>
  </si>
  <si>
    <t>MANISH FLOUR MILLS PVT LTD</t>
  </si>
  <si>
    <t>124/125A, BARDOLI ROAD TATETHIYA</t>
  </si>
  <si>
    <t>KADODARA SURAT , GUJARAT -394305</t>
  </si>
  <si>
    <t>Mob. 8108004715</t>
  </si>
  <si>
    <t>DT 29.01.2026</t>
  </si>
  <si>
    <t>C. STOCK</t>
  </si>
  <si>
    <t>P. SAUDA</t>
  </si>
  <si>
    <t>DIFF</t>
  </si>
  <si>
    <t>PENDING SAUDA</t>
  </si>
  <si>
    <t xml:space="preserve">SUPER DELUX BRAN </t>
  </si>
  <si>
    <t>CHK</t>
  </si>
  <si>
    <t>CRN</t>
  </si>
  <si>
    <t>WHEAT</t>
  </si>
  <si>
    <t>LAST MONTH TILL DATE</t>
  </si>
  <si>
    <t xml:space="preserve"> MONTH TILL DATE</t>
  </si>
  <si>
    <t>ITEM NAME</t>
  </si>
  <si>
    <t>POWER MESH 50 KG</t>
  </si>
  <si>
    <t xml:space="preserve"> (MAIDA LEMINATION ) 50 KG</t>
  </si>
  <si>
    <t xml:space="preserve">SALES REPORT </t>
  </si>
  <si>
    <t xml:space="preserve">ADITYA JI </t>
  </si>
  <si>
    <t>KATTA</t>
  </si>
  <si>
    <t>kg</t>
  </si>
  <si>
    <t>in qtl</t>
  </si>
  <si>
    <t xml:space="preserve">av  rate </t>
  </si>
  <si>
    <t>WHEAT RT</t>
  </si>
  <si>
    <t>DEEPAK JI SHARMA</t>
  </si>
  <si>
    <t>KAILASH JI SHARMA</t>
  </si>
  <si>
    <t>admin</t>
  </si>
  <si>
    <t xml:space="preserve">SALES MAN </t>
  </si>
  <si>
    <t>katta</t>
  </si>
  <si>
    <t xml:space="preserve">amount </t>
  </si>
  <si>
    <t>ADITYA JI</t>
  </si>
  <si>
    <t>DEEPAK JI  SHARMA</t>
  </si>
  <si>
    <t xml:space="preserve">admin ji </t>
  </si>
  <si>
    <t>DATE :- 25-06-26</t>
  </si>
  <si>
    <t>diff</t>
  </si>
  <si>
    <t>PRODUCTS</t>
  </si>
  <si>
    <t>YIELD IN  %</t>
  </si>
  <si>
    <t xml:space="preserve"> RATE BAG</t>
  </si>
  <si>
    <t xml:space="preserve"> RATE KG</t>
  </si>
  <si>
    <t>AVG RATE</t>
  </si>
  <si>
    <t>MAIDA -I ( 50 KG )</t>
  </si>
  <si>
    <t>MAIDA LEMINATION ) 50 KG</t>
  </si>
  <si>
    <t>REFINED WHEAT FLOUR MAIDA</t>
  </si>
  <si>
    <t>SOOJI  ( 50 KG )</t>
  </si>
  <si>
    <t>RAWA (50 KG )</t>
  </si>
  <si>
    <t>T-ATTA (50 KG )</t>
  </si>
  <si>
    <t>ELECTRIC BILL</t>
  </si>
  <si>
    <t>R-BRAN ( 39 KG )</t>
  </si>
  <si>
    <t>SALARY</t>
  </si>
  <si>
    <t>FINE BRAN ( 49 KG )</t>
  </si>
  <si>
    <t>PP BAG</t>
  </si>
  <si>
    <t>S. DELUXE BRAN ( 49 KG )</t>
  </si>
  <si>
    <t>CC INT..</t>
  </si>
  <si>
    <t>DELUXE BRAN ( 49 KG )</t>
  </si>
  <si>
    <t>REPAIR &amp; MAINTANANCE</t>
  </si>
  <si>
    <t>REALIZATION VALUE</t>
  </si>
  <si>
    <t>Staff Welfare A/c</t>
  </si>
  <si>
    <t>NOTE :- WHEAT &amp; ATTA MAIDA AVG</t>
  </si>
  <si>
    <t xml:space="preserve">WHEAT NET AVG RATE </t>
  </si>
  <si>
    <t>TRAVELLING EXPENSES</t>
  </si>
  <si>
    <t xml:space="preserve">                  RATE TILL DATE </t>
  </si>
  <si>
    <t>DIFFRENCE</t>
  </si>
  <si>
    <t>PEST CONTROL</t>
  </si>
  <si>
    <t>CA05</t>
  </si>
  <si>
    <t>GRD EXP.</t>
  </si>
  <si>
    <t>DIRECTOR REMUNARATION</t>
  </si>
  <si>
    <t>MOISTURE @ 3%</t>
  </si>
  <si>
    <t>Building Repaire &amp; Maintance</t>
  </si>
  <si>
    <t xml:space="preserve">FINAL </t>
  </si>
  <si>
    <t>Printing &amp; Stationery Exp</t>
  </si>
  <si>
    <t>Transport Exp. A/c</t>
  </si>
  <si>
    <t>Interest Paid (Expenses) BMW</t>
  </si>
  <si>
    <t>Wherehouse Rent</t>
  </si>
  <si>
    <t>Rent Pune</t>
  </si>
  <si>
    <t>DATE :- 05.10.2025</t>
  </si>
  <si>
    <t>Bardana Repaire</t>
  </si>
  <si>
    <t>Cash discount</t>
  </si>
  <si>
    <t>MAIDA -II  ( 50 KG )</t>
  </si>
  <si>
    <t xml:space="preserve">TOTAL </t>
  </si>
  <si>
    <t xml:space="preserve">wheat rate </t>
  </si>
  <si>
    <t>WHEAT RATE LESS 4%</t>
  </si>
  <si>
    <t>SALES REPORT 17.10.2025</t>
  </si>
  <si>
    <t>KATTA RATE</t>
  </si>
  <si>
    <t xml:space="preserve">RATE </t>
  </si>
  <si>
    <t xml:space="preserve">katta  rate </t>
  </si>
  <si>
    <t>ROUGH BRAN</t>
  </si>
  <si>
    <t xml:space="preserve">WHEAT RATE </t>
  </si>
  <si>
    <t>cash</t>
  </si>
  <si>
    <t xml:space="preserve">net diff </t>
  </si>
  <si>
    <t>PER DAY  QTL</t>
  </si>
  <si>
    <t>MONTH</t>
  </si>
  <si>
    <t>AMOUNT</t>
  </si>
  <si>
    <t xml:space="preserve">PER DAY SALES </t>
  </si>
  <si>
    <t xml:space="preserve">PER DAY PURCHASE </t>
  </si>
  <si>
    <t xml:space="preserve">PER DAY GRINDING </t>
  </si>
  <si>
    <t>PER DAY SALEMANWISE</t>
  </si>
  <si>
    <t>KAILASH JI</t>
  </si>
  <si>
    <t xml:space="preserve">DEEPAK JI </t>
  </si>
  <si>
    <t xml:space="preserve">ADMIN JI </t>
  </si>
  <si>
    <t>monthaly %</t>
  </si>
  <si>
    <t>unit consum</t>
  </si>
  <si>
    <t>comsum kw</t>
  </si>
  <si>
    <t>unit</t>
  </si>
  <si>
    <t>grinding</t>
  </si>
  <si>
    <t>per bag consume</t>
  </si>
  <si>
    <t xml:space="preserve">PER DAY AMOUNT </t>
  </si>
  <si>
    <t xml:space="preserve">stop time </t>
  </si>
  <si>
    <t xml:space="preserve">running </t>
  </si>
  <si>
    <t>SALE TODATE</t>
  </si>
  <si>
    <t>PURCHASE TODATE</t>
  </si>
  <si>
    <t>Rate Diff</t>
  </si>
  <si>
    <t>RATE</t>
  </si>
  <si>
    <t>DATE</t>
  </si>
  <si>
    <t>TOTAL GRD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</si>
</sst>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&quot;0.00"/>
    <numFmt numFmtId="165" formatCode="0.0"/>
    <numFmt numFmtId="166" formatCode="&quot;&quot;0"/>
    <numFmt numFmtId="167" formatCode="_(* #,##0.00_);_(* \(#,##0.00\);_(* &quot;-&quot;??_);_(@_)"/>
    <numFmt numFmtId="168" formatCode="&quot;&quot;0.00&quot; QTL&quot;"/>
    <numFmt numFmtId="169" formatCode="&quot;&quot;0.00&quot; Cr&quot;"/>
    <numFmt numFmtId="170" formatCode="&quot;&quot;0.000&quot; QTL&quot;"/>
    <numFmt numFmtId="171" formatCode="0.000"/>
  </numFmts>
  <fonts count="39">
    <font>
      <sz val="11.0"/>
      <color theme="1"/>
      <name val="Calibri"/>
      <scheme val="minor"/>
    </font>
    <font>
      <sz val="16.0"/>
      <color rgb="FF3C78D8"/>
      <name val="Calibri"/>
    </font>
    <font/>
    <font>
      <b/>
      <sz val="18.0"/>
      <color rgb="FF6AA84F"/>
      <name val="Calibri"/>
    </font>
    <font>
      <sz val="11.0"/>
      <color theme="1"/>
      <name val="Calibri"/>
    </font>
    <font>
      <b/>
      <sz val="18.0"/>
      <color rgb="FFFF0000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FF0000"/>
      <name val="Calibri"/>
    </font>
    <font>
      <b/>
      <sz val="11.0"/>
      <color rgb="FF4A86E8"/>
      <name val="Calibri"/>
    </font>
    <font>
      <b/>
      <sz val="18.0"/>
      <color rgb="FF4A86E8"/>
      <name val="Calibri"/>
    </font>
    <font>
      <sz val="11.0"/>
      <color theme="0"/>
      <name val="Calibri"/>
    </font>
    <font>
      <b/>
      <sz val="16.0"/>
      <color rgb="FFCC0000"/>
      <name val="Calibri"/>
    </font>
    <font>
      <b/>
      <sz val="11.0"/>
      <color rgb="FFFF0000"/>
      <name val="Calibri"/>
    </font>
    <font>
      <b/>
      <sz val="11.0"/>
      <color theme="0"/>
      <name val="Calibri"/>
    </font>
    <font>
      <b/>
      <u/>
      <sz val="11.0"/>
      <color rgb="FFFF0000"/>
      <name val="Calibri"/>
    </font>
    <font>
      <i/>
      <sz val="9.0"/>
      <color rgb="FF000000"/>
      <name val="Arial"/>
    </font>
    <font>
      <sz val="11.0"/>
      <color rgb="FF000000"/>
      <name val="Calibri"/>
    </font>
    <font>
      <b/>
      <sz val="14.0"/>
      <color rgb="FF6AA84F"/>
      <name val="Bookman Old Style"/>
    </font>
    <font>
      <b/>
      <sz val="14.0"/>
      <color rgb="FF6AA84F"/>
      <name val="Calibri"/>
    </font>
    <font>
      <sz val="11.0"/>
      <color theme="1"/>
      <name val="Bookman Old Style"/>
    </font>
    <font>
      <i/>
      <sz val="9.0"/>
      <color theme="1"/>
      <name val="Arial"/>
    </font>
    <font>
      <sz val="9.0"/>
      <color theme="1"/>
      <name val="Arial"/>
    </font>
    <font>
      <sz val="10.0"/>
      <color theme="1"/>
      <name val="Bookman Old Style"/>
    </font>
    <font>
      <b/>
      <sz val="18.0"/>
      <color rgb="FF38761D"/>
      <name val="Calibri"/>
    </font>
    <font>
      <b/>
      <sz val="9.0"/>
      <color theme="1"/>
      <name val="Arial"/>
    </font>
    <font>
      <b/>
      <sz val="11.0"/>
      <color theme="1"/>
      <name val="Bookman Old Style"/>
    </font>
    <font>
      <b/>
      <sz val="18.0"/>
      <color theme="1"/>
      <name val="Calibri"/>
    </font>
    <font>
      <sz val="20.0"/>
      <color theme="1"/>
      <name val="Calibri"/>
    </font>
    <font>
      <b/>
      <sz val="20.0"/>
      <color theme="1"/>
      <name val="Calibri"/>
    </font>
    <font>
      <b/>
      <sz val="16.0"/>
      <color theme="1"/>
      <name val="Calibri"/>
    </font>
    <font>
      <b/>
      <sz val="12.0"/>
      <color rgb="FF6AA84F"/>
      <name val="Calibri"/>
    </font>
    <font>
      <b/>
      <sz val="18.0"/>
      <color rgb="FF205867"/>
      <name val="Calibri"/>
    </font>
    <font>
      <b/>
      <sz val="11.0"/>
      <color rgb="FF205867"/>
      <name val="Calibri"/>
    </font>
    <font>
      <sz val="16.0"/>
      <color theme="1"/>
      <name val="Calibri"/>
    </font>
    <font>
      <sz val="11.0"/>
      <color theme="1"/>
      <name val="Arial Rounded"/>
    </font>
    <font>
      <b/>
      <sz val="9.0"/>
      <color rgb="FFFF0000"/>
      <name val="Calibri"/>
    </font>
    <font>
      <sz val="9.0"/>
      <color theme="1"/>
      <name val="Arial Rounded"/>
    </font>
    <font>
      <sz val="10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3F3F3F"/>
        <bgColor rgb="FF3F3F3F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DBE5F1"/>
        <bgColor rgb="FFDBE5F1"/>
      </patternFill>
    </fill>
    <fill>
      <patternFill patternType="solid">
        <fgColor rgb="FFFABF8F"/>
        <bgColor rgb="FFFABF8F"/>
      </patternFill>
    </fill>
    <fill>
      <patternFill patternType="solid">
        <fgColor rgb="FF92D050"/>
        <bgColor rgb="FF92D050"/>
      </patternFill>
    </fill>
  </fills>
  <borders count="80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ck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n">
        <color rgb="FF000000"/>
      </left>
      <right style="thick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ck">
        <color rgb="FF000000"/>
      </left>
      <right/>
      <top/>
      <bottom style="thick">
        <color rgb="FF000000"/>
      </bottom>
    </border>
    <border>
      <left/>
      <right/>
      <top/>
      <bottom style="thick">
        <color rgb="FF000000"/>
      </bottom>
    </border>
    <border>
      <left/>
      <right/>
      <top/>
      <bottom/>
    </border>
    <border>
      <left/>
      <top/>
      <bottom/>
    </border>
    <border>
      <right/>
      <top/>
      <bottom/>
    </border>
    <border>
      <left/>
      <right/>
      <top style="thin">
        <color rgb="FF95B3D7"/>
      </top>
      <bottom/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5" numFmtId="0" xfId="0" applyAlignment="1" applyBorder="1" applyFont="1">
      <alignment horizontal="center"/>
    </xf>
    <xf borderId="11" fillId="0" fontId="4" numFmtId="0" xfId="0" applyBorder="1" applyFont="1"/>
    <xf borderId="12" fillId="0" fontId="6" numFmtId="0" xfId="0" applyBorder="1" applyFont="1"/>
    <xf borderId="13" fillId="0" fontId="6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13" fillId="0" fontId="4" numFmtId="0" xfId="0" applyAlignment="1" applyBorder="1" applyFont="1">
      <alignment horizontal="center"/>
    </xf>
    <xf borderId="14" fillId="0" fontId="6" numFmtId="0" xfId="0" applyAlignment="1" applyBorder="1" applyFont="1">
      <alignment horizontal="center"/>
    </xf>
    <xf borderId="15" fillId="0" fontId="6" numFmtId="0" xfId="0" applyBorder="1" applyFont="1"/>
    <xf borderId="16" fillId="0" fontId="4" numFmtId="0" xfId="0" applyBorder="1" applyFont="1"/>
    <xf borderId="17" fillId="0" fontId="6" numFmtId="0" xfId="0" applyBorder="1" applyFont="1"/>
    <xf borderId="16" fillId="0" fontId="6" numFmtId="0" xfId="0" applyBorder="1" applyFont="1"/>
    <xf borderId="0" fillId="0" fontId="4" numFmtId="0" xfId="0" applyAlignment="1" applyFont="1">
      <alignment horizontal="left"/>
    </xf>
    <xf borderId="0" fillId="0" fontId="4" numFmtId="164" xfId="0" applyFont="1" applyNumberFormat="1"/>
    <xf borderId="18" fillId="0" fontId="6" numFmtId="0" xfId="0" applyBorder="1" applyFont="1"/>
    <xf borderId="11" fillId="0" fontId="6" numFmtId="0" xfId="0" applyAlignment="1" applyBorder="1" applyFont="1">
      <alignment horizontal="center"/>
    </xf>
    <xf borderId="11" fillId="3" fontId="4" numFmtId="0" xfId="0" applyAlignment="1" applyBorder="1" applyFill="1" applyFont="1">
      <alignment horizontal="center" readingOrder="0"/>
    </xf>
    <xf borderId="19" fillId="4" fontId="6" numFmtId="165" xfId="0" applyAlignment="1" applyBorder="1" applyFill="1" applyFont="1" applyNumberFormat="1">
      <alignment horizontal="center"/>
    </xf>
    <xf borderId="11" fillId="0" fontId="4" numFmtId="0" xfId="0" applyAlignment="1" applyBorder="1" applyFont="1">
      <alignment horizontal="left"/>
    </xf>
    <xf borderId="20" fillId="0" fontId="6" numFmtId="0" xfId="0" applyAlignment="1" applyBorder="1" applyFont="1">
      <alignment horizontal="center"/>
    </xf>
    <xf borderId="11" fillId="0" fontId="4" numFmtId="0" xfId="0" applyAlignment="1" applyBorder="1" applyFont="1">
      <alignment horizontal="center"/>
    </xf>
    <xf borderId="11" fillId="3" fontId="4" numFmtId="0" xfId="0" applyAlignment="1" applyBorder="1" applyFont="1">
      <alignment horizontal="center"/>
    </xf>
    <xf borderId="19" fillId="4" fontId="4" numFmtId="2" xfId="0" applyBorder="1" applyFont="1" applyNumberFormat="1"/>
    <xf borderId="20" fillId="0" fontId="4" numFmtId="0" xfId="0" applyBorder="1" applyFont="1"/>
    <xf borderId="19" fillId="4" fontId="6" numFmtId="2" xfId="0" applyBorder="1" applyFont="1" applyNumberFormat="1"/>
    <xf borderId="11" fillId="0" fontId="6" numFmtId="0" xfId="0" applyAlignment="1" applyBorder="1" applyFont="1">
      <alignment horizontal="left"/>
    </xf>
    <xf borderId="0" fillId="0" fontId="7" numFmtId="0" xfId="0" applyFont="1"/>
    <xf borderId="11" fillId="0" fontId="6" numFmtId="0" xfId="0" applyBorder="1" applyFont="1"/>
    <xf borderId="0" fillId="0" fontId="8" numFmtId="0" xfId="0" applyAlignment="1" applyFont="1">
      <alignment horizontal="center"/>
    </xf>
    <xf borderId="21" fillId="4" fontId="6" numFmtId="165" xfId="0" applyAlignment="1" applyBorder="1" applyFont="1" applyNumberFormat="1">
      <alignment horizontal="center"/>
    </xf>
    <xf borderId="0" fillId="0" fontId="6" numFmtId="0" xfId="0" applyFont="1"/>
    <xf quotePrefix="1" borderId="18" fillId="0" fontId="6" numFmtId="49" xfId="0" applyAlignment="1" applyBorder="1" applyFont="1" applyNumberFormat="1">
      <alignment horizontal="left"/>
    </xf>
    <xf borderId="22" fillId="0" fontId="6" numFmtId="0" xfId="0" applyAlignment="1" applyBorder="1" applyFont="1">
      <alignment horizontal="left"/>
    </xf>
    <xf borderId="0" fillId="0" fontId="4" numFmtId="2" xfId="0" applyFont="1" applyNumberFormat="1"/>
    <xf borderId="23" fillId="0" fontId="6" numFmtId="0" xfId="0" applyBorder="1" applyFont="1"/>
    <xf borderId="24" fillId="0" fontId="6" numFmtId="0" xfId="0" applyAlignment="1" applyBorder="1" applyFont="1">
      <alignment horizontal="center"/>
    </xf>
    <xf borderId="25" fillId="3" fontId="4" numFmtId="0" xfId="0" applyAlignment="1" applyBorder="1" applyFont="1">
      <alignment horizontal="center"/>
    </xf>
    <xf borderId="26" fillId="4" fontId="6" numFmtId="165" xfId="0" applyAlignment="1" applyBorder="1" applyFont="1" applyNumberFormat="1">
      <alignment horizontal="center"/>
    </xf>
    <xf borderId="24" fillId="0" fontId="4" numFmtId="0" xfId="0" applyAlignment="1" applyBorder="1" applyFont="1">
      <alignment horizontal="center"/>
    </xf>
    <xf borderId="27" fillId="4" fontId="4" numFmtId="2" xfId="0" applyBorder="1" applyFont="1" applyNumberFormat="1"/>
    <xf borderId="0" fillId="0" fontId="4" numFmtId="0" xfId="0" applyFont="1"/>
    <xf borderId="11" fillId="0" fontId="4" numFmtId="164" xfId="0" applyBorder="1" applyFont="1" applyNumberFormat="1"/>
    <xf borderId="28" fillId="0" fontId="4" numFmtId="0" xfId="0" applyBorder="1" applyFont="1"/>
    <xf borderId="29" fillId="0" fontId="6" numFmtId="0" xfId="0" applyAlignment="1" applyBorder="1" applyFont="1">
      <alignment horizontal="center"/>
    </xf>
    <xf borderId="30" fillId="0" fontId="6" numFmtId="0" xfId="0" applyAlignment="1" applyBorder="1" applyFont="1">
      <alignment horizontal="center"/>
    </xf>
    <xf borderId="29" fillId="3" fontId="4" numFmtId="0" xfId="0" applyAlignment="1" applyBorder="1" applyFont="1">
      <alignment horizontal="center"/>
    </xf>
    <xf borderId="29" fillId="3" fontId="4" numFmtId="165" xfId="0" applyAlignment="1" applyBorder="1" applyFont="1" applyNumberFormat="1">
      <alignment horizontal="center"/>
    </xf>
    <xf borderId="29" fillId="0" fontId="6" numFmtId="2" xfId="0" applyAlignment="1" applyBorder="1" applyFont="1" applyNumberFormat="1">
      <alignment horizontal="center"/>
    </xf>
    <xf borderId="31" fillId="0" fontId="4" numFmtId="2" xfId="0" applyBorder="1" applyFont="1" applyNumberFormat="1"/>
    <xf borderId="11" fillId="0" fontId="4" numFmtId="2" xfId="0" applyBorder="1" applyFont="1" applyNumberFormat="1"/>
    <xf borderId="32" fillId="0" fontId="6" numFmtId="0" xfId="0" applyAlignment="1" applyBorder="1" applyFont="1">
      <alignment horizontal="center"/>
    </xf>
    <xf borderId="19" fillId="3" fontId="6" numFmtId="2" xfId="0" applyBorder="1" applyFont="1" applyNumberFormat="1"/>
    <xf borderId="33" fillId="0" fontId="6" numFmtId="0" xfId="0" applyBorder="1" applyFont="1"/>
    <xf borderId="0" fillId="0" fontId="8" numFmtId="1" xfId="0" applyFont="1" applyNumberFormat="1"/>
    <xf borderId="0" fillId="0" fontId="4" numFmtId="1" xfId="0" applyFont="1" applyNumberFormat="1"/>
    <xf borderId="0" fillId="0" fontId="6" numFmtId="0" xfId="0" applyAlignment="1" applyFont="1">
      <alignment horizontal="center"/>
    </xf>
    <xf borderId="34" fillId="0" fontId="9" numFmtId="0" xfId="0" applyBorder="1" applyFont="1"/>
    <xf borderId="35" fillId="0" fontId="6" numFmtId="14" xfId="0" applyBorder="1" applyFont="1" applyNumberFormat="1"/>
    <xf borderId="35" fillId="0" fontId="4" numFmtId="0" xfId="0" applyBorder="1" applyFont="1"/>
    <xf borderId="36" fillId="0" fontId="4" numFmtId="0" xfId="0" applyBorder="1" applyFont="1"/>
    <xf borderId="4" fillId="0" fontId="10" numFmtId="0" xfId="0" applyAlignment="1" applyBorder="1" applyFont="1">
      <alignment horizontal="center"/>
    </xf>
    <xf borderId="5" fillId="0" fontId="4" numFmtId="0" xfId="0" applyBorder="1" applyFont="1"/>
    <xf borderId="7" fillId="0" fontId="4" numFmtId="0" xfId="0" applyBorder="1" applyFont="1"/>
    <xf borderId="37" fillId="0" fontId="3" numFmtId="0" xfId="0" applyAlignment="1" applyBorder="1" applyFont="1">
      <alignment horizontal="center"/>
    </xf>
    <xf borderId="38" fillId="0" fontId="2" numFmtId="0" xfId="0" applyBorder="1" applyFont="1"/>
    <xf borderId="36" fillId="0" fontId="2" numFmtId="0" xfId="0" applyBorder="1" applyFont="1"/>
    <xf borderId="18" fillId="0" fontId="4" numFmtId="0" xfId="0" applyBorder="1" applyFont="1"/>
    <xf borderId="39" fillId="0" fontId="4" numFmtId="0" xfId="0" applyAlignment="1" applyBorder="1" applyFont="1">
      <alignment horizontal="center" shrinkToFit="0" vertical="center" wrapText="1"/>
    </xf>
    <xf borderId="40" fillId="0" fontId="6" numFmtId="0" xfId="0" applyBorder="1" applyFont="1"/>
    <xf borderId="20" fillId="0" fontId="6" numFmtId="0" xfId="0" applyBorder="1" applyFont="1"/>
    <xf borderId="24" fillId="0" fontId="6" numFmtId="0" xfId="0" applyBorder="1" applyFont="1"/>
    <xf borderId="16" fillId="0" fontId="6" numFmtId="0" xfId="0" applyAlignment="1" applyBorder="1" applyFont="1">
      <alignment horizontal="center"/>
    </xf>
    <xf borderId="20" fillId="0" fontId="2" numFmtId="0" xfId="0" applyBorder="1" applyFont="1"/>
    <xf borderId="39" fillId="0" fontId="2" numFmtId="0" xfId="0" applyBorder="1" applyFont="1"/>
    <xf borderId="40" fillId="0" fontId="6" numFmtId="2" xfId="0" applyBorder="1" applyFont="1" applyNumberFormat="1"/>
    <xf borderId="41" fillId="0" fontId="4" numFmtId="0" xfId="0" applyAlignment="1" applyBorder="1" applyFont="1">
      <alignment horizontal="left"/>
    </xf>
    <xf borderId="11" fillId="0" fontId="4" numFmtId="166" xfId="0" applyBorder="1" applyFont="1" applyNumberFormat="1"/>
    <xf borderId="16" fillId="0" fontId="6" numFmtId="166" xfId="0" applyAlignment="1" applyBorder="1" applyFont="1" applyNumberFormat="1">
      <alignment horizontal="center"/>
    </xf>
    <xf borderId="16" fillId="0" fontId="6" numFmtId="2" xfId="0" applyBorder="1" applyFont="1" applyNumberFormat="1"/>
    <xf borderId="11" fillId="0" fontId="6" numFmtId="2" xfId="0" applyBorder="1" applyFont="1" applyNumberFormat="1"/>
    <xf borderId="11" fillId="0" fontId="4" numFmtId="1" xfId="0" applyBorder="1" applyFont="1" applyNumberFormat="1"/>
    <xf borderId="14" fillId="0" fontId="2" numFmtId="0" xfId="0" applyBorder="1" applyFont="1"/>
    <xf borderId="21" fillId="5" fontId="4" numFmtId="0" xfId="0" applyBorder="1" applyFill="1" applyFont="1"/>
    <xf borderId="11" fillId="0" fontId="4" numFmtId="165" xfId="0" applyBorder="1" applyFont="1" applyNumberFormat="1"/>
    <xf borderId="42" fillId="0" fontId="8" numFmtId="0" xfId="0" applyBorder="1" applyFont="1"/>
    <xf borderId="42" fillId="0" fontId="11" numFmtId="0" xfId="0" applyBorder="1" applyFont="1"/>
    <xf borderId="11" fillId="5" fontId="4" numFmtId="165" xfId="0" applyBorder="1" applyFont="1" applyNumberFormat="1"/>
    <xf borderId="42" fillId="0" fontId="4" numFmtId="2" xfId="0" applyBorder="1" applyFont="1" applyNumberFormat="1"/>
    <xf quotePrefix="1" borderId="11" fillId="0" fontId="6" numFmtId="49" xfId="0" applyAlignment="1" applyBorder="1" applyFont="1" applyNumberFormat="1">
      <alignment horizontal="left"/>
    </xf>
    <xf borderId="42" fillId="0" fontId="4" numFmtId="0" xfId="0" applyBorder="1" applyFont="1"/>
    <xf borderId="0" fillId="0" fontId="4" numFmtId="167" xfId="0" applyFont="1" applyNumberFormat="1"/>
    <xf borderId="11" fillId="0" fontId="4" numFmtId="167" xfId="0" applyBorder="1" applyFont="1" applyNumberFormat="1"/>
    <xf borderId="0" fillId="0" fontId="4" numFmtId="166" xfId="0" applyFont="1" applyNumberFormat="1"/>
    <xf borderId="11" fillId="0" fontId="6" numFmtId="167" xfId="0" applyBorder="1" applyFont="1" applyNumberFormat="1"/>
    <xf borderId="21" fillId="0" fontId="6" numFmtId="2" xfId="0" applyBorder="1" applyFont="1" applyNumberFormat="1"/>
    <xf borderId="37" fillId="0" fontId="12" numFmtId="2" xfId="0" applyAlignment="1" applyBorder="1" applyFont="1" applyNumberFormat="1">
      <alignment horizontal="center"/>
    </xf>
    <xf borderId="43" fillId="0" fontId="4" numFmtId="0" xfId="0" applyBorder="1" applyFont="1"/>
    <xf borderId="30" fillId="0" fontId="4" numFmtId="0" xfId="0" applyBorder="1" applyFont="1"/>
    <xf borderId="29" fillId="0" fontId="4" numFmtId="0" xfId="0" applyBorder="1" applyFont="1"/>
    <xf borderId="44" fillId="0" fontId="4" numFmtId="0" xfId="0" applyBorder="1" applyFont="1"/>
    <xf borderId="45" fillId="0" fontId="2" numFmtId="0" xfId="0" applyBorder="1" applyFont="1"/>
    <xf borderId="46" fillId="0" fontId="2" numFmtId="0" xfId="0" applyBorder="1" applyFont="1"/>
    <xf borderId="47" fillId="0" fontId="2" numFmtId="0" xfId="0" applyBorder="1" applyFont="1"/>
    <xf borderId="34" fillId="0" fontId="13" numFmtId="0" xfId="0" applyBorder="1" applyFont="1"/>
    <xf borderId="35" fillId="0" fontId="8" numFmtId="0" xfId="0" applyBorder="1" applyFont="1"/>
    <xf borderId="10" fillId="0" fontId="8" numFmtId="0" xfId="0" applyBorder="1" applyFont="1"/>
    <xf borderId="35" fillId="0" fontId="8" numFmtId="10" xfId="0" applyBorder="1" applyFont="1" applyNumberFormat="1"/>
    <xf borderId="4" fillId="0" fontId="13" numFmtId="0" xfId="0" applyAlignment="1" applyBorder="1" applyFont="1">
      <alignment horizontal="center"/>
    </xf>
    <xf borderId="38" fillId="0" fontId="4" numFmtId="0" xfId="0" applyBorder="1" applyFont="1"/>
    <xf borderId="48" fillId="0" fontId="8" numFmtId="0" xfId="0" applyBorder="1" applyFont="1"/>
    <xf borderId="37" fillId="0" fontId="4" numFmtId="0" xfId="0" applyBorder="1" applyFont="1"/>
    <xf borderId="49" fillId="6" fontId="6" numFmtId="2" xfId="0" applyAlignment="1" applyBorder="1" applyFill="1" applyFont="1" applyNumberFormat="1">
      <alignment horizontal="center"/>
    </xf>
    <xf borderId="50" fillId="0" fontId="2" numFmtId="0" xfId="0" applyBorder="1" applyFont="1"/>
    <xf borderId="25" fillId="6" fontId="14" numFmtId="0" xfId="0" applyAlignment="1" applyBorder="1" applyFont="1">
      <alignment horizontal="center"/>
    </xf>
    <xf borderId="11" fillId="6" fontId="14" numFmtId="0" xfId="0" applyAlignment="1" applyBorder="1" applyFont="1">
      <alignment horizontal="center"/>
    </xf>
    <xf borderId="21" fillId="0" fontId="4" numFmtId="0" xfId="0" applyBorder="1" applyFont="1"/>
    <xf borderId="11" fillId="0" fontId="4" numFmtId="10" xfId="0" applyAlignment="1" applyBorder="1" applyFont="1" applyNumberFormat="1">
      <alignment horizontal="left"/>
    </xf>
    <xf borderId="11" fillId="0" fontId="6" numFmtId="10" xfId="0" applyAlignment="1" applyBorder="1" applyFont="1" applyNumberFormat="1">
      <alignment horizontal="left"/>
    </xf>
    <xf borderId="21" fillId="0" fontId="4" numFmtId="165" xfId="0" applyBorder="1" applyFont="1" applyNumberFormat="1"/>
    <xf borderId="21" fillId="5" fontId="6" numFmtId="0" xfId="0" applyBorder="1" applyFont="1"/>
    <xf borderId="51" fillId="7" fontId="6" numFmtId="0" xfId="0" applyBorder="1" applyFill="1" applyFont="1"/>
    <xf borderId="22" fillId="0" fontId="4" numFmtId="0" xfId="0" applyBorder="1" applyFont="1"/>
    <xf borderId="16" fillId="0" fontId="6" numFmtId="0" xfId="0" applyAlignment="1" applyBorder="1" applyFont="1">
      <alignment horizontal="left"/>
    </xf>
    <xf borderId="11" fillId="0" fontId="6" numFmtId="2" xfId="0" applyAlignment="1" applyBorder="1" applyFont="1" applyNumberFormat="1">
      <alignment horizontal="center"/>
    </xf>
    <xf borderId="20" fillId="0" fontId="6" numFmtId="2" xfId="0" applyAlignment="1" applyBorder="1" applyFont="1" applyNumberFormat="1">
      <alignment horizontal="center"/>
    </xf>
    <xf borderId="21" fillId="0" fontId="4" numFmtId="2" xfId="0" applyBorder="1" applyFont="1" applyNumberFormat="1"/>
    <xf borderId="21" fillId="0" fontId="6" numFmtId="0" xfId="0" applyBorder="1" applyFont="1"/>
    <xf borderId="51" fillId="0" fontId="6" numFmtId="2" xfId="0" applyBorder="1" applyFont="1" applyNumberFormat="1"/>
    <xf borderId="28" fillId="0" fontId="6" numFmtId="0" xfId="0" applyBorder="1" applyFont="1"/>
    <xf borderId="52" fillId="5" fontId="6" numFmtId="0" xfId="0" applyBorder="1" applyFont="1"/>
    <xf borderId="51" fillId="0" fontId="6" numFmtId="0" xfId="0" applyBorder="1" applyFont="1"/>
    <xf borderId="53" fillId="0" fontId="4" numFmtId="0" xfId="0" applyBorder="1" applyFont="1"/>
    <xf borderId="11" fillId="0" fontId="6" numFmtId="1" xfId="0" applyAlignment="1" applyBorder="1" applyFont="1" applyNumberFormat="1">
      <alignment horizontal="center"/>
    </xf>
    <xf borderId="17" fillId="0" fontId="2" numFmtId="0" xfId="0" applyBorder="1" applyFont="1"/>
    <xf borderId="13" fillId="0" fontId="6" numFmtId="1" xfId="0" applyAlignment="1" applyBorder="1" applyFont="1" applyNumberFormat="1">
      <alignment horizontal="center"/>
    </xf>
    <xf borderId="21" fillId="0" fontId="4" numFmtId="1" xfId="0" applyBorder="1" applyFont="1" applyNumberFormat="1"/>
    <xf borderId="37" fillId="0" fontId="13" numFmtId="0" xfId="0" applyAlignment="1" applyBorder="1" applyFont="1">
      <alignment horizontal="center"/>
    </xf>
    <xf borderId="51" fillId="8" fontId="6" numFmtId="168" xfId="0" applyBorder="1" applyFill="1" applyFont="1" applyNumberFormat="1"/>
    <xf borderId="54" fillId="0" fontId="6" numFmtId="0" xfId="0" applyAlignment="1" applyBorder="1" applyFont="1">
      <alignment horizontal="left"/>
    </xf>
    <xf borderId="55" fillId="0" fontId="6" numFmtId="0" xfId="0" applyAlignment="1" applyBorder="1" applyFont="1">
      <alignment horizontal="left"/>
    </xf>
    <xf borderId="11" fillId="0" fontId="13" numFmtId="10" xfId="0" applyAlignment="1" applyBorder="1" applyFont="1" applyNumberFormat="1">
      <alignment horizontal="left"/>
    </xf>
    <xf borderId="34" fillId="0" fontId="6" numFmtId="0" xfId="0" applyBorder="1" applyFont="1"/>
    <xf borderId="52" fillId="0" fontId="4" numFmtId="2" xfId="0" applyAlignment="1" applyBorder="1" applyFont="1" applyNumberFormat="1">
      <alignment horizontal="right"/>
    </xf>
    <xf borderId="24" fillId="0" fontId="6" numFmtId="1" xfId="0" applyAlignment="1" applyBorder="1" applyFont="1" applyNumberFormat="1">
      <alignment horizontal="center"/>
    </xf>
    <xf borderId="56" fillId="5" fontId="6" numFmtId="168" xfId="0" applyBorder="1" applyFont="1" applyNumberFormat="1"/>
    <xf borderId="11" fillId="9" fontId="6" numFmtId="0" xfId="0" applyAlignment="1" applyBorder="1" applyFill="1" applyFont="1">
      <alignment horizontal="center"/>
    </xf>
    <xf borderId="57" fillId="0" fontId="4" numFmtId="0" xfId="0" applyBorder="1" applyFont="1"/>
    <xf borderId="58" fillId="0" fontId="4" numFmtId="2" xfId="0" applyBorder="1" applyFont="1" applyNumberFormat="1"/>
    <xf borderId="55" fillId="0" fontId="4" numFmtId="0" xfId="0" applyBorder="1" applyFont="1"/>
    <xf borderId="33" fillId="0" fontId="4" numFmtId="0" xfId="0" applyBorder="1" applyFont="1"/>
    <xf borderId="59" fillId="0" fontId="4" numFmtId="0" xfId="0" applyBorder="1" applyFont="1"/>
    <xf borderId="60" fillId="0" fontId="6" numFmtId="0" xfId="0" applyAlignment="1" applyBorder="1" applyFont="1">
      <alignment horizontal="left"/>
    </xf>
    <xf borderId="55" fillId="0" fontId="2" numFmtId="0" xfId="0" applyBorder="1" applyFont="1"/>
    <xf borderId="61" fillId="0" fontId="4" numFmtId="0" xfId="0" applyBorder="1" applyFont="1"/>
    <xf borderId="21" fillId="5" fontId="8" numFmtId="165" xfId="0" applyBorder="1" applyFont="1" applyNumberFormat="1"/>
    <xf borderId="4" fillId="0" fontId="15" numFmtId="0" xfId="0" applyAlignment="1" applyBorder="1" applyFont="1">
      <alignment horizontal="center" vertical="center"/>
    </xf>
    <xf borderId="11" fillId="0" fontId="4" numFmtId="9" xfId="0" applyAlignment="1" applyBorder="1" applyFont="1" applyNumberFormat="1">
      <alignment horizontal="left"/>
    </xf>
    <xf borderId="21" fillId="0" fontId="8" numFmtId="0" xfId="0" applyBorder="1" applyFont="1"/>
    <xf borderId="11" fillId="0" fontId="4" numFmtId="9" xfId="0" applyAlignment="1" applyBorder="1" applyFont="1" applyNumberFormat="1">
      <alignment horizontal="center"/>
    </xf>
    <xf borderId="16" fillId="0" fontId="4" numFmtId="0" xfId="0" applyAlignment="1" applyBorder="1" applyFont="1">
      <alignment horizontal="center"/>
    </xf>
    <xf borderId="47" fillId="0" fontId="4" numFmtId="0" xfId="0" applyBorder="1" applyFont="1"/>
    <xf borderId="11" fillId="0" fontId="4" numFmtId="10" xfId="0" applyBorder="1" applyFont="1" applyNumberFormat="1"/>
    <xf borderId="11" fillId="0" fontId="4" numFmtId="10" xfId="0" applyAlignment="1" applyBorder="1" applyFont="1" applyNumberFormat="1">
      <alignment horizontal="center"/>
    </xf>
    <xf borderId="62" fillId="0" fontId="6" numFmtId="0" xfId="0" applyBorder="1" applyFont="1"/>
    <xf borderId="63" fillId="0" fontId="4" numFmtId="0" xfId="0" applyBorder="1" applyFont="1"/>
    <xf borderId="64" fillId="3" fontId="8" numFmtId="165" xfId="0" applyBorder="1" applyFont="1" applyNumberFormat="1"/>
    <xf borderId="65" fillId="3" fontId="8" numFmtId="0" xfId="0" applyBorder="1" applyFont="1"/>
    <xf borderId="66" fillId="3" fontId="8" numFmtId="0" xfId="0" applyBorder="1" applyFont="1"/>
    <xf borderId="66" fillId="3" fontId="4" numFmtId="0" xfId="0" applyBorder="1" applyFont="1"/>
    <xf borderId="67" fillId="3" fontId="4" numFmtId="0" xfId="0" applyBorder="1" applyFont="1"/>
    <xf borderId="68" fillId="3" fontId="4" numFmtId="0" xfId="0" applyAlignment="1" applyBorder="1" applyFont="1">
      <alignment horizontal="center"/>
    </xf>
    <xf borderId="69" fillId="0" fontId="2" numFmtId="0" xfId="0" applyBorder="1" applyFont="1"/>
    <xf borderId="11" fillId="3" fontId="16" numFmtId="49" xfId="0" applyAlignment="1" applyBorder="1" applyFont="1" applyNumberFormat="1">
      <alignment shrinkToFit="0" vertical="top" wrapText="1"/>
    </xf>
    <xf borderId="11" fillId="3" fontId="16" numFmtId="49" xfId="0" applyAlignment="1" applyBorder="1" applyFont="1" applyNumberFormat="1">
      <alignment horizontal="left" shrinkToFit="0" vertical="top" wrapText="1"/>
    </xf>
    <xf borderId="34" fillId="0" fontId="6" numFmtId="2" xfId="0" applyBorder="1" applyFont="1" applyNumberFormat="1"/>
    <xf borderId="11" fillId="3" fontId="17" numFmtId="0" xfId="0" applyAlignment="1" applyBorder="1" applyFont="1">
      <alignment horizontal="center"/>
    </xf>
    <xf borderId="11" fillId="3" fontId="17" numFmtId="0" xfId="0" applyAlignment="1" applyBorder="1" applyFont="1">
      <alignment horizontal="left"/>
    </xf>
    <xf borderId="70" fillId="10" fontId="6" numFmtId="0" xfId="0" applyBorder="1" applyFill="1" applyFont="1"/>
    <xf borderId="70" fillId="10" fontId="6" numFmtId="169" xfId="0" applyBorder="1" applyFont="1" applyNumberFormat="1"/>
    <xf borderId="13" fillId="0" fontId="4" numFmtId="0" xfId="0" applyBorder="1" applyFont="1"/>
    <xf borderId="18" fillId="0" fontId="6" numFmtId="2" xfId="0" applyBorder="1" applyFont="1" applyNumberFormat="1"/>
    <xf borderId="11" fillId="3" fontId="4" numFmtId="2" xfId="0" applyBorder="1" applyFont="1" applyNumberFormat="1"/>
    <xf borderId="11" fillId="3" fontId="17" numFmtId="0" xfId="0" applyBorder="1" applyFont="1"/>
    <xf borderId="71" fillId="5" fontId="6" numFmtId="0" xfId="0" applyAlignment="1" applyBorder="1" applyFont="1">
      <alignment horizontal="left"/>
    </xf>
    <xf borderId="11" fillId="5" fontId="6" numFmtId="2" xfId="0" applyAlignment="1" applyBorder="1" applyFont="1" applyNumberFormat="1">
      <alignment horizontal="center"/>
    </xf>
    <xf borderId="11" fillId="5" fontId="6" numFmtId="0" xfId="0" applyAlignment="1" applyBorder="1" applyFont="1">
      <alignment horizontal="center"/>
    </xf>
    <xf borderId="11" fillId="5" fontId="6" numFmtId="1" xfId="0" applyAlignment="1" applyBorder="1" applyFont="1" applyNumberFormat="1">
      <alignment horizontal="center"/>
    </xf>
    <xf borderId="11" fillId="3" fontId="4" numFmtId="0" xfId="0" applyBorder="1" applyFont="1"/>
    <xf borderId="72" fillId="0" fontId="4" numFmtId="0" xfId="0" applyAlignment="1" applyBorder="1" applyFont="1">
      <alignment horizontal="center"/>
    </xf>
    <xf borderId="24" fillId="0" fontId="4" numFmtId="0" xfId="0" applyBorder="1" applyFont="1"/>
    <xf borderId="52" fillId="3" fontId="4" numFmtId="0" xfId="0" applyBorder="1" applyFont="1"/>
    <xf borderId="23" fillId="0" fontId="6" numFmtId="2" xfId="0" applyBorder="1" applyFont="1" applyNumberFormat="1"/>
    <xf borderId="25" fillId="3" fontId="4" numFmtId="0" xfId="0" applyBorder="1" applyFont="1"/>
    <xf borderId="4" fillId="0" fontId="18" numFmtId="0" xfId="0" applyAlignment="1" applyBorder="1" applyFont="1">
      <alignment horizontal="left"/>
    </xf>
    <xf borderId="6" fillId="0" fontId="4" numFmtId="0" xfId="0" applyBorder="1" applyFont="1"/>
    <xf borderId="37" fillId="0" fontId="19" numFmtId="0" xfId="0" applyAlignment="1" applyBorder="1" applyFont="1">
      <alignment horizontal="center"/>
    </xf>
    <xf borderId="37" fillId="0" fontId="18" numFmtId="0" xfId="0" applyAlignment="1" applyBorder="1" applyFont="1">
      <alignment horizontal="center"/>
    </xf>
    <xf borderId="11" fillId="0" fontId="4" numFmtId="168" xfId="0" applyBorder="1" applyFont="1" applyNumberFormat="1"/>
    <xf borderId="18" fillId="0" fontId="20" numFmtId="0" xfId="0" applyBorder="1" applyFont="1"/>
    <xf borderId="11" fillId="0" fontId="20" numFmtId="0" xfId="0" applyBorder="1" applyFont="1"/>
    <xf borderId="16" fillId="0" fontId="20" numFmtId="0" xfId="0" applyBorder="1" applyFont="1"/>
    <xf borderId="22" fillId="0" fontId="2" numFmtId="0" xfId="0" applyBorder="1" applyFont="1"/>
    <xf borderId="42" fillId="0" fontId="2" numFmtId="0" xfId="0" applyBorder="1" applyFont="1"/>
    <xf borderId="11" fillId="0" fontId="4" numFmtId="170" xfId="0" applyBorder="1" applyFont="1" applyNumberFormat="1"/>
    <xf borderId="11" fillId="0" fontId="20" numFmtId="0" xfId="0" applyAlignment="1" applyBorder="1" applyFont="1">
      <alignment horizontal="center"/>
    </xf>
    <xf borderId="11" fillId="0" fontId="21" numFmtId="49" xfId="0" applyAlignment="1" applyBorder="1" applyFont="1" applyNumberFormat="1">
      <alignment vertical="top"/>
    </xf>
    <xf borderId="11" fillId="0" fontId="21" numFmtId="170" xfId="0" applyAlignment="1" applyBorder="1" applyFont="1" applyNumberFormat="1">
      <alignment horizontal="right" vertical="top"/>
    </xf>
    <xf borderId="0" fillId="0" fontId="22" numFmtId="164" xfId="0" applyAlignment="1" applyFont="1" applyNumberFormat="1">
      <alignment horizontal="right" vertical="top"/>
    </xf>
    <xf borderId="0" fillId="0" fontId="21" numFmtId="164" xfId="0" applyAlignment="1" applyFont="1" applyNumberFormat="1">
      <alignment horizontal="right" vertical="top"/>
    </xf>
    <xf borderId="16" fillId="0" fontId="20" numFmtId="0" xfId="0" applyAlignment="1" applyBorder="1" applyFont="1">
      <alignment horizontal="left"/>
    </xf>
    <xf borderId="0" fillId="0" fontId="4" numFmtId="165" xfId="0" applyFont="1" applyNumberFormat="1"/>
    <xf borderId="21" fillId="0" fontId="20" numFmtId="0" xfId="0" applyAlignment="1" applyBorder="1" applyFont="1">
      <alignment horizontal="center"/>
    </xf>
    <xf borderId="18" fillId="0" fontId="23" numFmtId="0" xfId="0" applyBorder="1" applyFont="1"/>
    <xf borderId="11" fillId="0" fontId="20" numFmtId="1" xfId="0" applyAlignment="1" applyBorder="1" applyFont="1" applyNumberFormat="1">
      <alignment horizontal="center"/>
    </xf>
    <xf borderId="21" fillId="0" fontId="20" numFmtId="1" xfId="0" applyAlignment="1" applyBorder="1" applyFont="1" applyNumberFormat="1">
      <alignment horizontal="center"/>
    </xf>
    <xf borderId="11" fillId="0" fontId="20" numFmtId="2" xfId="0" applyAlignment="1" applyBorder="1" applyFont="1" applyNumberFormat="1">
      <alignment horizontal="center"/>
    </xf>
    <xf borderId="11" fillId="0" fontId="20" numFmtId="165" xfId="0" applyAlignment="1" applyBorder="1" applyFont="1" applyNumberFormat="1">
      <alignment horizontal="center"/>
    </xf>
    <xf borderId="0" fillId="0" fontId="24" numFmtId="0" xfId="0" applyAlignment="1" applyFont="1">
      <alignment horizontal="center"/>
    </xf>
    <xf borderId="22" fillId="0" fontId="20" numFmtId="0" xfId="0" applyBorder="1" applyFont="1"/>
    <xf borderId="24" fillId="0" fontId="20" numFmtId="0" xfId="0" applyAlignment="1" applyBorder="1" applyFont="1">
      <alignment horizontal="center"/>
    </xf>
    <xf borderId="61" fillId="0" fontId="20" numFmtId="0" xfId="0" applyAlignment="1" applyBorder="1" applyFont="1">
      <alignment horizontal="center"/>
    </xf>
    <xf borderId="11" fillId="0" fontId="6" numFmtId="170" xfId="0" applyAlignment="1" applyBorder="1" applyFont="1" applyNumberFormat="1">
      <alignment horizontal="center"/>
    </xf>
    <xf borderId="28" fillId="0" fontId="20" numFmtId="0" xfId="0" applyBorder="1" applyFont="1"/>
    <xf borderId="29" fillId="0" fontId="20" numFmtId="1" xfId="0" applyAlignment="1" applyBorder="1" applyFont="1" applyNumberFormat="1">
      <alignment horizontal="center"/>
    </xf>
    <xf borderId="16" fillId="0" fontId="21" numFmtId="49" xfId="0" applyAlignment="1" applyBorder="1" applyFont="1" applyNumberFormat="1">
      <alignment horizontal="center" shrinkToFit="0" vertical="top" wrapText="1"/>
    </xf>
    <xf borderId="16" fillId="0" fontId="21" numFmtId="49" xfId="0" applyAlignment="1" applyBorder="1" applyFont="1" applyNumberFormat="1">
      <alignment horizontal="left" shrinkToFit="0" vertical="top" wrapText="1"/>
    </xf>
    <xf borderId="0" fillId="0" fontId="20" numFmtId="0" xfId="0" applyFont="1"/>
    <xf borderId="0" fillId="0" fontId="20" numFmtId="1" xfId="0" applyAlignment="1" applyFont="1" applyNumberFormat="1">
      <alignment horizontal="center"/>
    </xf>
    <xf borderId="11" fillId="0" fontId="21" numFmtId="49" xfId="0" applyAlignment="1" applyBorder="1" applyFont="1" applyNumberFormat="1">
      <alignment horizontal="center" shrinkToFit="0" vertical="top" wrapText="1"/>
    </xf>
    <xf borderId="29" fillId="0" fontId="20" numFmtId="0" xfId="0" applyAlignment="1" applyBorder="1" applyFont="1">
      <alignment horizontal="center"/>
    </xf>
    <xf borderId="31" fillId="0" fontId="20" numFmtId="0" xfId="0" applyAlignment="1" applyBorder="1" applyFont="1">
      <alignment horizontal="left"/>
    </xf>
    <xf borderId="67" fillId="5" fontId="4" numFmtId="0" xfId="0" applyBorder="1" applyFont="1"/>
    <xf borderId="67" fillId="5" fontId="19" numFmtId="0" xfId="0" applyAlignment="1" applyBorder="1" applyFont="1">
      <alignment horizontal="center"/>
    </xf>
    <xf borderId="11" fillId="5" fontId="25" numFmtId="164" xfId="0" applyAlignment="1" applyBorder="1" applyFont="1" applyNumberFormat="1">
      <alignment horizontal="right" vertical="top"/>
    </xf>
    <xf borderId="11" fillId="5" fontId="4" numFmtId="0" xfId="0" applyBorder="1" applyFont="1"/>
    <xf borderId="67" fillId="5" fontId="20" numFmtId="0" xfId="0" applyBorder="1" applyFont="1"/>
    <xf borderId="67" fillId="5" fontId="20" numFmtId="0" xfId="0" applyAlignment="1" applyBorder="1" applyFont="1">
      <alignment horizontal="center"/>
    </xf>
    <xf borderId="0" fillId="0" fontId="26" numFmtId="0" xfId="0" applyAlignment="1" applyFont="1">
      <alignment horizontal="center"/>
    </xf>
    <xf borderId="34" fillId="0" fontId="4" numFmtId="0" xfId="0" applyBorder="1" applyFont="1"/>
    <xf borderId="10" fillId="0" fontId="4" numFmtId="0" xfId="0" applyBorder="1" applyFont="1"/>
    <xf borderId="11" fillId="0" fontId="13" numFmtId="0" xfId="0" applyBorder="1" applyFont="1"/>
    <xf borderId="4" fillId="0" fontId="6" numFmtId="2" xfId="0" applyBorder="1" applyFont="1" applyNumberFormat="1"/>
    <xf borderId="73" fillId="0" fontId="6" numFmtId="2" xfId="0" applyBorder="1" applyFont="1" applyNumberFormat="1"/>
    <xf borderId="54" fillId="0" fontId="6" numFmtId="2" xfId="0" applyBorder="1" applyFont="1" applyNumberFormat="1"/>
    <xf borderId="0" fillId="0" fontId="17" numFmtId="0" xfId="0" applyFont="1"/>
    <xf borderId="0" fillId="0" fontId="27" numFmtId="0" xfId="0" applyFont="1"/>
    <xf borderId="0" fillId="0" fontId="28" numFmtId="0" xfId="0" applyFont="1"/>
    <xf borderId="0" fillId="0" fontId="29" numFmtId="0" xfId="0" applyFont="1"/>
    <xf borderId="0" fillId="0" fontId="30" numFmtId="0" xfId="0" applyAlignment="1" applyFont="1">
      <alignment horizontal="center"/>
    </xf>
    <xf borderId="0" fillId="0" fontId="30" numFmtId="0" xfId="0" applyFont="1"/>
    <xf borderId="11" fillId="0" fontId="3" numFmtId="0" xfId="0" applyBorder="1" applyFont="1"/>
    <xf borderId="11" fillId="0" fontId="31" numFmtId="0" xfId="0" applyAlignment="1" applyBorder="1" applyFont="1">
      <alignment horizontal="center"/>
    </xf>
    <xf borderId="16" fillId="0" fontId="3" numFmtId="0" xfId="0" applyAlignment="1" applyBorder="1" applyFont="1">
      <alignment horizontal="center"/>
    </xf>
    <xf borderId="72" fillId="0" fontId="2" numFmtId="0" xfId="0" applyBorder="1" applyFont="1"/>
    <xf borderId="11" fillId="4" fontId="6" numFmtId="165" xfId="0" applyAlignment="1" applyBorder="1" applyFont="1" applyNumberFormat="1">
      <alignment horizontal="center"/>
    </xf>
    <xf borderId="11" fillId="4" fontId="6" numFmtId="2" xfId="0" applyBorder="1" applyFont="1" applyNumberFormat="1"/>
    <xf borderId="11" fillId="0" fontId="8" numFmtId="0" xfId="0" applyAlignment="1" applyBorder="1" applyFont="1">
      <alignment horizontal="center"/>
    </xf>
    <xf borderId="11" fillId="3" fontId="6" numFmtId="2" xfId="0" applyBorder="1" applyFont="1" applyNumberFormat="1"/>
    <xf borderId="59" fillId="0" fontId="32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74" fillId="0" fontId="32" numFmtId="0" xfId="0" applyAlignment="1" applyBorder="1" applyFont="1">
      <alignment horizontal="center"/>
    </xf>
    <xf borderId="11" fillId="11" fontId="33" numFmtId="0" xfId="0" applyAlignment="1" applyBorder="1" applyFill="1" applyFont="1">
      <alignment vertical="center"/>
    </xf>
    <xf borderId="11" fillId="11" fontId="33" numFmtId="0" xfId="0" applyAlignment="1" applyBorder="1" applyFont="1">
      <alignment horizontal="center" vertical="center"/>
    </xf>
    <xf borderId="74" fillId="0" fontId="34" numFmtId="0" xfId="0" applyAlignment="1" applyBorder="1" applyFont="1">
      <alignment horizontal="center"/>
    </xf>
    <xf borderId="16" fillId="5" fontId="6" numFmtId="0" xfId="0" applyAlignment="1" applyBorder="1" applyFont="1">
      <alignment horizontal="center"/>
    </xf>
    <xf borderId="16" fillId="0" fontId="6" numFmtId="0" xfId="0" applyAlignment="1" applyBorder="1" applyFont="1">
      <alignment shrinkToFit="0" wrapText="1"/>
    </xf>
    <xf borderId="72" fillId="0" fontId="6" numFmtId="0" xfId="0" applyAlignment="1" applyBorder="1" applyFont="1">
      <alignment shrinkToFit="0" wrapText="1"/>
    </xf>
    <xf borderId="20" fillId="0" fontId="6" numFmtId="0" xfId="0" applyAlignment="1" applyBorder="1" applyFont="1">
      <alignment shrinkToFit="0" wrapText="1"/>
    </xf>
    <xf borderId="11" fillId="0" fontId="17" numFmtId="0" xfId="0" applyAlignment="1" applyBorder="1" applyFont="1">
      <alignment horizontal="left"/>
    </xf>
    <xf borderId="11" fillId="0" fontId="17" numFmtId="166" xfId="0" applyBorder="1" applyFont="1" applyNumberFormat="1"/>
    <xf borderId="11" fillId="0" fontId="17" numFmtId="164" xfId="0" applyBorder="1" applyFont="1" applyNumberFormat="1"/>
    <xf borderId="75" fillId="0" fontId="4" numFmtId="0" xfId="0" applyBorder="1" applyFont="1"/>
    <xf borderId="74" fillId="0" fontId="4" numFmtId="0" xfId="0" applyBorder="1" applyFont="1"/>
    <xf borderId="19" fillId="12" fontId="6" numFmtId="0" xfId="0" applyBorder="1" applyFill="1" applyFont="1"/>
    <xf borderId="76" fillId="12" fontId="6" numFmtId="164" xfId="0" applyBorder="1" applyFont="1" applyNumberFormat="1"/>
    <xf borderId="11" fillId="12" fontId="6" numFmtId="0" xfId="0" applyBorder="1" applyFont="1"/>
    <xf borderId="11" fillId="12" fontId="6" numFmtId="1" xfId="0" applyBorder="1" applyFont="1" applyNumberFormat="1"/>
    <xf borderId="19" fillId="12" fontId="6" numFmtId="1" xfId="0" applyBorder="1" applyFont="1" applyNumberFormat="1"/>
    <xf borderId="72" fillId="0" fontId="4" numFmtId="0" xfId="0" applyBorder="1" applyFont="1"/>
    <xf borderId="77" fillId="0" fontId="2" numFmtId="0" xfId="0" applyBorder="1" applyFont="1"/>
    <xf borderId="13" fillId="0" fontId="4" numFmtId="1" xfId="0" applyBorder="1" applyFont="1" applyNumberFormat="1"/>
    <xf borderId="13" fillId="0" fontId="4" numFmtId="165" xfId="0" applyBorder="1" applyFont="1" applyNumberFormat="1"/>
    <xf borderId="46" fillId="0" fontId="4" numFmtId="0" xfId="0" applyBorder="1" applyFont="1"/>
    <xf borderId="78" fillId="12" fontId="6" numFmtId="164" xfId="0" applyBorder="1" applyFont="1" applyNumberFormat="1"/>
    <xf borderId="11" fillId="12" fontId="6" numFmtId="166" xfId="0" applyBorder="1" applyFont="1" applyNumberFormat="1"/>
    <xf borderId="11" fillId="3" fontId="6" numFmtId="0" xfId="0" applyBorder="1" applyFont="1"/>
    <xf borderId="67" fillId="3" fontId="6" numFmtId="0" xfId="0" applyBorder="1" applyFont="1"/>
    <xf borderId="16" fillId="0" fontId="4" numFmtId="1" xfId="0" applyBorder="1" applyFont="1" applyNumberFormat="1"/>
    <xf borderId="11" fillId="5" fontId="6" numFmtId="0" xfId="0" applyBorder="1" applyFont="1"/>
    <xf borderId="11" fillId="12" fontId="6" numFmtId="164" xfId="0" applyBorder="1" applyFont="1" applyNumberFormat="1"/>
    <xf borderId="46" fillId="0" fontId="35" numFmtId="0" xfId="0" applyAlignment="1" applyBorder="1" applyFont="1">
      <alignment horizontal="center"/>
    </xf>
    <xf borderId="11" fillId="0" fontId="36" numFmtId="0" xfId="0" applyBorder="1" applyFont="1"/>
    <xf borderId="16" fillId="0" fontId="35" numFmtId="0" xfId="0" applyAlignment="1" applyBorder="1" applyFont="1">
      <alignment horizontal="center"/>
    </xf>
    <xf borderId="11" fillId="0" fontId="35" numFmtId="0" xfId="0" applyAlignment="1" applyBorder="1" applyFont="1">
      <alignment horizontal="center"/>
    </xf>
    <xf borderId="74" fillId="0" fontId="4" numFmtId="0" xfId="0" applyAlignment="1" applyBorder="1" applyFont="1">
      <alignment horizontal="center"/>
    </xf>
    <xf borderId="16" fillId="0" fontId="37" numFmtId="0" xfId="0" applyAlignment="1" applyBorder="1" applyFont="1">
      <alignment horizontal="center"/>
    </xf>
    <xf borderId="11" fillId="0" fontId="35" numFmtId="2" xfId="0" applyAlignment="1" applyBorder="1" applyFont="1" applyNumberFormat="1">
      <alignment horizontal="center"/>
    </xf>
    <xf borderId="11" fillId="0" fontId="35" numFmtId="167" xfId="0" applyBorder="1" applyFont="1" applyNumberFormat="1"/>
    <xf borderId="11" fillId="0" fontId="35" numFmtId="167" xfId="0" applyAlignment="1" applyBorder="1" applyFont="1" applyNumberFormat="1">
      <alignment horizontal="center"/>
    </xf>
    <xf borderId="19" fillId="3" fontId="4" numFmtId="0" xfId="0" applyAlignment="1" applyBorder="1" applyFont="1">
      <alignment horizontal="center"/>
    </xf>
    <xf borderId="16" fillId="0" fontId="4" numFmtId="17" xfId="0" applyAlignment="1" applyBorder="1" applyFont="1" applyNumberFormat="1">
      <alignment horizontal="center"/>
    </xf>
    <xf borderId="0" fillId="0" fontId="35" numFmtId="0" xfId="0" applyFont="1"/>
    <xf borderId="67" fillId="3" fontId="35" numFmtId="0" xfId="0" applyBorder="1" applyFont="1"/>
    <xf borderId="0" fillId="0" fontId="35" numFmtId="9" xfId="0" applyFont="1" applyNumberFormat="1"/>
    <xf borderId="11" fillId="0" fontId="35" numFmtId="4" xfId="0" applyBorder="1" applyFont="1" applyNumberFormat="1"/>
    <xf borderId="0" fillId="0" fontId="35" numFmtId="2" xfId="0" applyFont="1" applyNumberFormat="1"/>
    <xf borderId="11" fillId="5" fontId="35" numFmtId="4" xfId="0" applyBorder="1" applyFont="1" applyNumberFormat="1"/>
    <xf borderId="27" fillId="3" fontId="4" numFmtId="0" xfId="0" applyAlignment="1" applyBorder="1" applyFont="1">
      <alignment horizontal="center"/>
    </xf>
    <xf borderId="79" fillId="3" fontId="4" numFmtId="0" xfId="0" applyAlignment="1" applyBorder="1" applyFont="1">
      <alignment horizontal="center"/>
    </xf>
    <xf borderId="11" fillId="0" fontId="35" numFmtId="1" xfId="0" applyAlignment="1" applyBorder="1" applyFont="1" applyNumberFormat="1">
      <alignment horizontal="center"/>
    </xf>
    <xf borderId="67" fillId="5" fontId="35" numFmtId="0" xfId="0" applyBorder="1" applyFont="1"/>
    <xf borderId="11" fillId="0" fontId="6" numFmtId="0" xfId="0" applyAlignment="1" applyBorder="1" applyFont="1">
      <alignment shrinkToFit="0" wrapText="1"/>
    </xf>
    <xf borderId="11" fillId="4" fontId="4" numFmtId="2" xfId="0" applyBorder="1" applyFont="1" applyNumberFormat="1"/>
    <xf borderId="19" fillId="5" fontId="6" numFmtId="0" xfId="0" applyAlignment="1" applyBorder="1" applyFont="1">
      <alignment horizontal="center"/>
    </xf>
    <xf borderId="78" fillId="5" fontId="6" numFmtId="0" xfId="0" applyAlignment="1" applyBorder="1" applyFont="1">
      <alignment horizontal="center"/>
    </xf>
    <xf borderId="76" fillId="5" fontId="6" numFmtId="0" xfId="0" applyAlignment="1" applyBorder="1" applyFont="1">
      <alignment horizontal="center"/>
    </xf>
    <xf borderId="11" fillId="5" fontId="4" numFmtId="1" xfId="0" applyBorder="1" applyFont="1" applyNumberFormat="1"/>
    <xf borderId="24" fillId="0" fontId="4" numFmtId="1" xfId="0" applyBorder="1" applyFont="1" applyNumberFormat="1"/>
    <xf borderId="20" fillId="0" fontId="4" numFmtId="1" xfId="0" applyBorder="1" applyFont="1" applyNumberFormat="1"/>
    <xf borderId="11" fillId="0" fontId="4" numFmtId="164" xfId="0" applyAlignment="1" applyBorder="1" applyFont="1" applyNumberFormat="1">
      <alignment horizontal="center"/>
    </xf>
    <xf borderId="16" fillId="0" fontId="4" numFmtId="164" xfId="0" applyAlignment="1" applyBorder="1" applyFont="1" applyNumberFormat="1">
      <alignment horizontal="center"/>
    </xf>
    <xf borderId="20" fillId="0" fontId="4" numFmtId="164" xfId="0" applyAlignment="1" applyBorder="1" applyFont="1" applyNumberFormat="1">
      <alignment horizontal="center"/>
    </xf>
    <xf borderId="11" fillId="12" fontId="6" numFmtId="2" xfId="0" applyBorder="1" applyFont="1" applyNumberFormat="1"/>
    <xf borderId="19" fillId="12" fontId="6" numFmtId="164" xfId="0" applyAlignment="1" applyBorder="1" applyFont="1" applyNumberFormat="1">
      <alignment horizontal="center"/>
    </xf>
    <xf borderId="76" fillId="12" fontId="6" numFmtId="164" xfId="0" applyAlignment="1" applyBorder="1" applyFont="1" applyNumberFormat="1">
      <alignment horizontal="center"/>
    </xf>
    <xf borderId="33" fillId="0" fontId="4" numFmtId="2" xfId="0" applyBorder="1" applyFont="1" applyNumberFormat="1"/>
    <xf borderId="0" fillId="0" fontId="17" numFmtId="0" xfId="0" applyAlignment="1" applyFont="1">
      <alignment horizontal="left"/>
    </xf>
    <xf borderId="0" fillId="0" fontId="17" numFmtId="166" xfId="0" applyFont="1" applyNumberFormat="1"/>
    <xf borderId="0" fillId="0" fontId="17" numFmtId="164" xfId="0" applyFont="1" applyNumberFormat="1"/>
    <xf borderId="0" fillId="0" fontId="6" numFmtId="16" xfId="0" applyFont="1" applyNumberFormat="1"/>
    <xf borderId="0" fillId="0" fontId="38" numFmtId="0" xfId="0" applyFont="1"/>
    <xf borderId="67" fillId="12" fontId="4" numFmtId="0" xfId="0" applyBorder="1" applyFont="1"/>
    <xf borderId="0" fillId="0" fontId="4" numFmtId="171" xfId="0" applyFont="1" applyNumberFormat="1"/>
    <xf borderId="46" fillId="0" fontId="6" numFmtId="0" xfId="0" applyAlignment="1" applyBorder="1" applyFont="1">
      <alignment horizontal="center"/>
    </xf>
    <xf borderId="13" fillId="0" fontId="6" numFmtId="0" xfId="0" applyBorder="1" applyFont="1"/>
    <xf borderId="72" fillId="0" fontId="6" numFmtId="0" xfId="0" applyAlignment="1" applyBorder="1" applyFont="1">
      <alignment horizontal="center"/>
    </xf>
    <xf borderId="72" fillId="0" fontId="6" numFmtId="2" xfId="0" applyAlignment="1" applyBorder="1" applyFont="1" applyNumberFormat="1">
      <alignment horizontal="center"/>
    </xf>
    <xf borderId="0" fillId="0" fontId="4" numFmtId="14" xfId="0" applyFont="1" applyNumberFormat="1"/>
    <xf borderId="0" fillId="0" fontId="4" numFmtId="1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externalLink" Target="externalLinks/externalLink1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Pt>
            <c:idx val="8"/>
            <c:spPr>
              <a:solidFill>
                <a:srgbClr val="B9CF8B"/>
              </a:solidFill>
            </c:spPr>
          </c:dPt>
          <c:dPt>
            <c:idx val="9"/>
            <c:spPr>
              <a:solidFill>
                <a:srgbClr val="A693BE"/>
              </a:solidFill>
            </c:spPr>
          </c:dPt>
          <c:dPt>
            <c:idx val="10"/>
            <c:spPr>
              <a:solidFill>
                <a:srgbClr val="81C5D7"/>
              </a:solidFill>
            </c:spPr>
          </c:dPt>
          <c:dPt>
            <c:idx val="11"/>
            <c:spPr>
              <a:solidFill>
                <a:srgbClr val="F9B67E"/>
              </a:solidFill>
            </c:spPr>
          </c:dPt>
          <c:dPt>
            <c:idx val="12"/>
            <c:spPr>
              <a:solidFill>
                <a:srgbClr val="B9CDE5"/>
              </a:solidFill>
            </c:spPr>
          </c:dPt>
          <c:dPt>
            <c:idx val="13"/>
            <c:spPr>
              <a:solidFill>
                <a:srgbClr val="E6B9B8"/>
              </a:solidFill>
            </c:spPr>
          </c:dPt>
          <c:dPt>
            <c:idx val="14"/>
            <c:spPr>
              <a:solidFill>
                <a:srgbClr val="D7E4B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'REPORT DATA SHEET'!$A$4:$A$18</c:f>
            </c:strRef>
          </c:cat>
          <c:val>
            <c:numRef>
              <c:f>'REPORT DATA SHEET'!$B$4:$B$18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'REPORT DATA SHEET'!$A$59:$A$62</c:f>
            </c:strRef>
          </c:cat>
          <c:val>
            <c:numRef>
              <c:f>'REPORT DATA SHEET'!$B$59:$B$62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857250</xdr:colOff>
      <xdr:row>57</xdr:row>
      <xdr:rowOff>19050</xdr:rowOff>
    </xdr:from>
    <xdr:ext cx="2638425" cy="1638300"/>
    <xdr:graphicFrame>
      <xdr:nvGraphicFramePr>
        <xdr:cNvPr id="88772309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38100</xdr:colOff>
      <xdr:row>66</xdr:row>
      <xdr:rowOff>9525</xdr:rowOff>
    </xdr:from>
    <xdr:ext cx="2609850" cy="1514475"/>
    <xdr:graphicFrame>
      <xdr:nvGraphicFramePr>
        <xdr:cNvPr id="109913548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09.10.2025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Wheat Purchase Register"/>
      <sheetName val="Sheet3"/>
      <sheetName val="ISL Sales Register"/>
      <sheetName val="Sheet2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12.29"/>
    <col customWidth="1" hidden="1" min="3" max="3" width="6.14"/>
    <col customWidth="1" min="4" max="4" width="13.0"/>
    <col customWidth="1" min="5" max="5" width="8.71"/>
    <col customWidth="1" min="6" max="6" width="19.14"/>
    <col customWidth="1" min="7" max="7" width="14.57"/>
    <col customWidth="1" min="8" max="8" width="0.14"/>
    <col customWidth="1" min="9" max="9" width="15.86"/>
    <col customWidth="1" min="10" max="10" width="10.14"/>
    <col customWidth="1" min="11" max="11" width="33.71"/>
    <col customWidth="1" min="12" max="12" width="29.0"/>
    <col customWidth="1" min="13" max="13" width="16.86"/>
    <col customWidth="1" min="14" max="14" width="0.14"/>
    <col customWidth="1" min="15" max="15" width="17.43"/>
    <col customWidth="1" min="16" max="16" width="13.14"/>
    <col customWidth="1" min="17" max="17" width="13.29"/>
    <col customWidth="1" min="18" max="18" width="33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4" t="s">
        <v>1</v>
      </c>
      <c r="B2" s="5"/>
      <c r="C2" s="5"/>
      <c r="D2" s="5"/>
      <c r="E2" s="6"/>
      <c r="F2" s="4" t="s">
        <v>2</v>
      </c>
      <c r="G2" s="5"/>
      <c r="H2" s="5"/>
      <c r="I2" s="7"/>
      <c r="J2" s="8"/>
      <c r="K2" s="9"/>
      <c r="L2" s="10" t="s">
        <v>3</v>
      </c>
      <c r="M2" s="5"/>
      <c r="N2" s="5"/>
      <c r="O2" s="5"/>
      <c r="P2" s="6"/>
      <c r="Q2" s="11"/>
    </row>
    <row r="3">
      <c r="A3" s="12" t="s">
        <v>4</v>
      </c>
      <c r="B3" s="13" t="s">
        <v>5</v>
      </c>
      <c r="C3" s="14"/>
      <c r="D3" s="15" t="s">
        <v>6</v>
      </c>
      <c r="E3" s="16" t="s">
        <v>7</v>
      </c>
      <c r="F3" s="17" t="s">
        <v>4</v>
      </c>
      <c r="G3" s="13" t="s">
        <v>5</v>
      </c>
      <c r="H3" s="15"/>
      <c r="I3" s="15" t="s">
        <v>6</v>
      </c>
      <c r="J3" s="18" t="s">
        <v>8</v>
      </c>
      <c r="K3" s="11" t="s">
        <v>9</v>
      </c>
      <c r="L3" s="19" t="s">
        <v>4</v>
      </c>
      <c r="M3" s="13" t="s">
        <v>5</v>
      </c>
      <c r="N3" s="15"/>
      <c r="O3" s="15" t="s">
        <v>6</v>
      </c>
      <c r="P3" s="20" t="s">
        <v>8</v>
      </c>
      <c r="Q3" s="11" t="s">
        <v>9</v>
      </c>
      <c r="R3" s="21"/>
      <c r="T3" s="22"/>
    </row>
    <row r="4">
      <c r="A4" s="23" t="s">
        <v>10</v>
      </c>
      <c r="B4" s="24"/>
      <c r="C4" s="14">
        <v>50.0</v>
      </c>
      <c r="D4" s="25">
        <v>52.0</v>
      </c>
      <c r="E4" s="26">
        <f t="shared" ref="E4:E19" si="1">(D4*100)/$D$22</f>
        <v>72.22222222</v>
      </c>
      <c r="F4" s="27" t="s">
        <v>11</v>
      </c>
      <c r="G4" s="28">
        <v>12589.0</v>
      </c>
      <c r="H4" s="29">
        <v>50.0</v>
      </c>
      <c r="I4" s="30">
        <f t="shared" ref="I4:I5" si="2">+G4*H4/100</f>
        <v>6294.5</v>
      </c>
      <c r="J4" s="31">
        <f t="shared" ref="J4:J19" si="3">(I4*100)/$I$22</f>
        <v>53.70142706</v>
      </c>
      <c r="K4" s="11"/>
      <c r="L4" s="27" t="s">
        <v>11</v>
      </c>
      <c r="M4" s="32"/>
      <c r="N4" s="29">
        <v>50.0</v>
      </c>
      <c r="O4" s="30">
        <f t="shared" ref="O4:O18" si="4">+M4*N4/100</f>
        <v>0</v>
      </c>
      <c r="P4" s="33" t="str">
        <f t="shared" ref="P4:P19" si="5">+O4/$O$22*100</f>
        <v>#DIV/0!</v>
      </c>
      <c r="Q4" s="11"/>
      <c r="R4" s="21"/>
      <c r="T4" s="22"/>
    </row>
    <row r="5">
      <c r="A5" s="23" t="s">
        <v>12</v>
      </c>
      <c r="B5" s="24"/>
      <c r="C5" s="14">
        <v>30.0</v>
      </c>
      <c r="D5" s="25">
        <v>20.0</v>
      </c>
      <c r="E5" s="26">
        <f t="shared" si="1"/>
        <v>27.77777778</v>
      </c>
      <c r="F5" s="11" t="s">
        <v>13</v>
      </c>
      <c r="G5" s="28">
        <v>1465.0</v>
      </c>
      <c r="H5" s="29">
        <v>30.0</v>
      </c>
      <c r="I5" s="30">
        <f t="shared" si="2"/>
        <v>439.5</v>
      </c>
      <c r="J5" s="31">
        <f t="shared" si="3"/>
        <v>3.749587289</v>
      </c>
      <c r="K5" s="11"/>
      <c r="L5" s="27" t="s">
        <v>13</v>
      </c>
      <c r="M5" s="32"/>
      <c r="N5" s="29">
        <v>30.0</v>
      </c>
      <c r="O5" s="30">
        <f t="shared" si="4"/>
        <v>0</v>
      </c>
      <c r="P5" s="33" t="str">
        <f t="shared" si="5"/>
        <v>#DIV/0!</v>
      </c>
      <c r="Q5" s="11"/>
      <c r="R5" s="21"/>
      <c r="S5" s="22"/>
      <c r="T5" s="22"/>
    </row>
    <row r="6">
      <c r="A6" s="34" t="s">
        <v>14</v>
      </c>
      <c r="B6" s="24"/>
      <c r="C6" s="14"/>
      <c r="D6" s="30">
        <f>+B6*0.5</f>
        <v>0</v>
      </c>
      <c r="E6" s="26">
        <f t="shared" si="1"/>
        <v>0</v>
      </c>
      <c r="F6" s="27" t="s">
        <v>14</v>
      </c>
      <c r="G6" s="28">
        <v>3053.0</v>
      </c>
      <c r="H6" s="29"/>
      <c r="I6" s="30">
        <f>+G6*0.5</f>
        <v>1526.5</v>
      </c>
      <c r="J6" s="31">
        <f t="shared" si="3"/>
        <v>13.02331057</v>
      </c>
      <c r="K6" s="11"/>
      <c r="L6" s="27" t="s">
        <v>14</v>
      </c>
      <c r="M6" s="32"/>
      <c r="N6" s="29">
        <v>50.0</v>
      </c>
      <c r="O6" s="30">
        <f t="shared" si="4"/>
        <v>0</v>
      </c>
      <c r="P6" s="33" t="str">
        <f t="shared" si="5"/>
        <v>#DIV/0!</v>
      </c>
      <c r="Q6" s="11"/>
      <c r="R6" s="21"/>
      <c r="S6" s="22"/>
      <c r="T6" s="22"/>
      <c r="V6" s="35">
        <f t="shared" ref="V6:V15" si="6">+S6*U6/100</f>
        <v>0</v>
      </c>
      <c r="W6" s="35" t="s">
        <v>15</v>
      </c>
      <c r="X6" s="35">
        <v>300.0</v>
      </c>
    </row>
    <row r="7">
      <c r="A7" s="36" t="s">
        <v>16</v>
      </c>
      <c r="B7" s="24"/>
      <c r="C7" s="14">
        <v>50.0</v>
      </c>
      <c r="D7" s="30">
        <f t="shared" ref="D7:D19" si="7">+B7*C7/100</f>
        <v>0</v>
      </c>
      <c r="E7" s="26">
        <f t="shared" si="1"/>
        <v>0</v>
      </c>
      <c r="F7" s="11" t="s">
        <v>16</v>
      </c>
      <c r="G7" s="28"/>
      <c r="H7" s="29">
        <v>50.0</v>
      </c>
      <c r="I7" s="30">
        <f t="shared" ref="I7:I15" si="8">+G7*H7/100</f>
        <v>0</v>
      </c>
      <c r="J7" s="31">
        <f t="shared" si="3"/>
        <v>0</v>
      </c>
      <c r="K7" s="11"/>
      <c r="L7" s="27" t="s">
        <v>16</v>
      </c>
      <c r="M7" s="32"/>
      <c r="N7" s="29">
        <v>50.0</v>
      </c>
      <c r="O7" s="30">
        <f t="shared" si="4"/>
        <v>0</v>
      </c>
      <c r="P7" s="33" t="str">
        <f t="shared" si="5"/>
        <v>#DIV/0!</v>
      </c>
      <c r="Q7" s="11"/>
      <c r="R7" s="21"/>
      <c r="S7" s="22"/>
      <c r="T7" s="22"/>
      <c r="V7" s="35">
        <f t="shared" si="6"/>
        <v>0</v>
      </c>
      <c r="W7" s="35" t="s">
        <v>17</v>
      </c>
      <c r="X7" s="35">
        <v>715.0</v>
      </c>
    </row>
    <row r="8">
      <c r="A8" s="23" t="s">
        <v>18</v>
      </c>
      <c r="B8" s="24"/>
      <c r="C8" s="14">
        <v>50.0</v>
      </c>
      <c r="D8" s="30">
        <f t="shared" si="7"/>
        <v>0</v>
      </c>
      <c r="E8" s="26">
        <f t="shared" si="1"/>
        <v>0</v>
      </c>
      <c r="F8" s="11" t="s">
        <v>19</v>
      </c>
      <c r="G8" s="28">
        <v>670.0</v>
      </c>
      <c r="H8" s="29">
        <v>50.0</v>
      </c>
      <c r="I8" s="30">
        <f t="shared" si="8"/>
        <v>335</v>
      </c>
      <c r="J8" s="31">
        <f t="shared" si="3"/>
        <v>2.858047194</v>
      </c>
      <c r="K8" s="11"/>
      <c r="L8" s="27" t="s">
        <v>19</v>
      </c>
      <c r="M8" s="32"/>
      <c r="N8" s="29">
        <v>50.0</v>
      </c>
      <c r="O8" s="30">
        <f t="shared" si="4"/>
        <v>0</v>
      </c>
      <c r="P8" s="33" t="str">
        <f t="shared" si="5"/>
        <v>#DIV/0!</v>
      </c>
      <c r="Q8" s="11"/>
      <c r="R8" s="21"/>
      <c r="S8" s="22"/>
      <c r="T8" s="22"/>
      <c r="V8" s="35">
        <f t="shared" si="6"/>
        <v>0</v>
      </c>
      <c r="W8" s="35" t="s">
        <v>20</v>
      </c>
      <c r="X8" s="35">
        <v>162.0</v>
      </c>
    </row>
    <row r="9">
      <c r="A9" s="23" t="s">
        <v>21</v>
      </c>
      <c r="B9" s="24"/>
      <c r="C9" s="14">
        <v>30.0</v>
      </c>
      <c r="D9" s="30">
        <f t="shared" si="7"/>
        <v>0</v>
      </c>
      <c r="E9" s="26">
        <f t="shared" si="1"/>
        <v>0</v>
      </c>
      <c r="F9" s="27" t="s">
        <v>22</v>
      </c>
      <c r="G9" s="28">
        <v>518.0</v>
      </c>
      <c r="H9" s="29">
        <v>30.0</v>
      </c>
      <c r="I9" s="30">
        <f t="shared" si="8"/>
        <v>155.4</v>
      </c>
      <c r="J9" s="31">
        <f t="shared" si="3"/>
        <v>1.325792639</v>
      </c>
      <c r="K9" s="11"/>
      <c r="L9" s="27" t="s">
        <v>22</v>
      </c>
      <c r="M9" s="32"/>
      <c r="N9" s="29">
        <v>30.0</v>
      </c>
      <c r="O9" s="30">
        <f t="shared" si="4"/>
        <v>0</v>
      </c>
      <c r="P9" s="33" t="str">
        <f t="shared" si="5"/>
        <v>#DIV/0!</v>
      </c>
      <c r="Q9" s="11"/>
      <c r="R9" s="21"/>
      <c r="S9" s="22"/>
      <c r="T9" s="22"/>
      <c r="V9" s="35">
        <f t="shared" si="6"/>
        <v>0</v>
      </c>
      <c r="W9" s="35" t="s">
        <v>23</v>
      </c>
      <c r="X9" s="35">
        <v>4675.0</v>
      </c>
    </row>
    <row r="10">
      <c r="A10" s="23" t="s">
        <v>24</v>
      </c>
      <c r="B10" s="24"/>
      <c r="C10" s="14">
        <v>50.0</v>
      </c>
      <c r="D10" s="30">
        <f t="shared" si="7"/>
        <v>0</v>
      </c>
      <c r="E10" s="26">
        <f t="shared" si="1"/>
        <v>0</v>
      </c>
      <c r="F10" s="11" t="s">
        <v>25</v>
      </c>
      <c r="G10" s="28">
        <v>1588.0</v>
      </c>
      <c r="H10" s="29">
        <v>50.0</v>
      </c>
      <c r="I10" s="30">
        <f t="shared" si="8"/>
        <v>794</v>
      </c>
      <c r="J10" s="31">
        <f t="shared" si="3"/>
        <v>6.773998425</v>
      </c>
      <c r="K10" s="11"/>
      <c r="L10" s="27" t="s">
        <v>25</v>
      </c>
      <c r="M10" s="32"/>
      <c r="N10" s="29">
        <v>50.0</v>
      </c>
      <c r="O10" s="30">
        <f t="shared" si="4"/>
        <v>0</v>
      </c>
      <c r="P10" s="33" t="str">
        <f t="shared" si="5"/>
        <v>#DIV/0!</v>
      </c>
      <c r="Q10" s="11"/>
      <c r="R10" s="21">
        <v>0.0</v>
      </c>
      <c r="S10" s="22"/>
      <c r="T10" s="22"/>
      <c r="V10" s="35">
        <f t="shared" si="6"/>
        <v>0</v>
      </c>
      <c r="W10" s="35" t="s">
        <v>13</v>
      </c>
      <c r="X10" s="35">
        <v>450.0</v>
      </c>
    </row>
    <row r="11">
      <c r="A11" s="23" t="s">
        <v>26</v>
      </c>
      <c r="B11" s="24"/>
      <c r="C11" s="14">
        <v>30.0</v>
      </c>
      <c r="D11" s="30">
        <f t="shared" si="7"/>
        <v>0</v>
      </c>
      <c r="E11" s="26">
        <f t="shared" si="1"/>
        <v>0</v>
      </c>
      <c r="F11" s="27" t="s">
        <v>27</v>
      </c>
      <c r="G11" s="28">
        <v>401.0</v>
      </c>
      <c r="H11" s="29">
        <v>30.0</v>
      </c>
      <c r="I11" s="30">
        <f t="shared" si="8"/>
        <v>120.3</v>
      </c>
      <c r="J11" s="31">
        <f t="shared" si="3"/>
        <v>1.026337545</v>
      </c>
      <c r="K11" s="11"/>
      <c r="L11" s="27" t="s">
        <v>27</v>
      </c>
      <c r="M11" s="32"/>
      <c r="N11" s="29">
        <v>30.0</v>
      </c>
      <c r="O11" s="30">
        <f t="shared" si="4"/>
        <v>0</v>
      </c>
      <c r="P11" s="33" t="str">
        <f t="shared" si="5"/>
        <v>#DIV/0!</v>
      </c>
      <c r="Q11" s="11"/>
      <c r="R11" s="21"/>
      <c r="S11" s="22"/>
      <c r="T11" s="22"/>
      <c r="V11" s="35">
        <f t="shared" si="6"/>
        <v>0</v>
      </c>
      <c r="W11" s="35" t="s">
        <v>11</v>
      </c>
      <c r="X11" s="35">
        <v>10255.0</v>
      </c>
    </row>
    <row r="12">
      <c r="A12" s="23" t="s">
        <v>28</v>
      </c>
      <c r="B12" s="24"/>
      <c r="C12" s="14">
        <v>50.0</v>
      </c>
      <c r="D12" s="30">
        <f t="shared" si="7"/>
        <v>0</v>
      </c>
      <c r="E12" s="26">
        <f t="shared" si="1"/>
        <v>0</v>
      </c>
      <c r="F12" s="27" t="s">
        <v>29</v>
      </c>
      <c r="G12" s="28">
        <v>348.0</v>
      </c>
      <c r="H12" s="29">
        <v>50.0</v>
      </c>
      <c r="I12" s="30">
        <f t="shared" si="8"/>
        <v>174</v>
      </c>
      <c r="J12" s="31">
        <f t="shared" si="3"/>
        <v>1.484478244</v>
      </c>
      <c r="K12" s="11"/>
      <c r="L12" s="27" t="s">
        <v>29</v>
      </c>
      <c r="M12" s="32"/>
      <c r="N12" s="29">
        <v>50.0</v>
      </c>
      <c r="O12" s="30">
        <f t="shared" si="4"/>
        <v>0</v>
      </c>
      <c r="P12" s="33" t="str">
        <f t="shared" si="5"/>
        <v>#DIV/0!</v>
      </c>
      <c r="Q12" s="11"/>
      <c r="R12" s="21">
        <v>0.0</v>
      </c>
      <c r="S12" s="22"/>
      <c r="V12" s="35">
        <f t="shared" si="6"/>
        <v>0</v>
      </c>
      <c r="W12" s="35" t="s">
        <v>30</v>
      </c>
      <c r="X12" s="35">
        <v>11.85</v>
      </c>
    </row>
    <row r="13">
      <c r="A13" s="23" t="s">
        <v>31</v>
      </c>
      <c r="B13" s="24"/>
      <c r="C13" s="14">
        <v>50.0</v>
      </c>
      <c r="D13" s="30">
        <f t="shared" si="7"/>
        <v>0</v>
      </c>
      <c r="E13" s="26">
        <f t="shared" si="1"/>
        <v>0</v>
      </c>
      <c r="F13" s="36" t="s">
        <v>31</v>
      </c>
      <c r="G13" s="28"/>
      <c r="H13" s="29">
        <v>50.0</v>
      </c>
      <c r="I13" s="30">
        <f t="shared" si="8"/>
        <v>0</v>
      </c>
      <c r="J13" s="31">
        <f t="shared" si="3"/>
        <v>0</v>
      </c>
      <c r="K13" s="11"/>
      <c r="L13" s="11" t="s">
        <v>31</v>
      </c>
      <c r="M13" s="32"/>
      <c r="N13" s="29">
        <v>50.0</v>
      </c>
      <c r="O13" s="30">
        <f t="shared" si="4"/>
        <v>0</v>
      </c>
      <c r="P13" s="33" t="str">
        <f t="shared" si="5"/>
        <v>#DIV/0!</v>
      </c>
      <c r="Q13" s="11"/>
      <c r="R13" s="21"/>
      <c r="S13" s="22"/>
      <c r="T13" s="22"/>
      <c r="V13" s="35">
        <f t="shared" si="6"/>
        <v>0</v>
      </c>
      <c r="W13" s="35" t="s">
        <v>27</v>
      </c>
      <c r="X13" s="35">
        <v>1113.0</v>
      </c>
    </row>
    <row r="14">
      <c r="A14" s="23" t="s">
        <v>32</v>
      </c>
      <c r="B14" s="24"/>
      <c r="C14" s="14">
        <v>30.0</v>
      </c>
      <c r="D14" s="30">
        <f t="shared" si="7"/>
        <v>0</v>
      </c>
      <c r="E14" s="26">
        <f t="shared" si="1"/>
        <v>0</v>
      </c>
      <c r="F14" s="36" t="s">
        <v>32</v>
      </c>
      <c r="G14" s="28"/>
      <c r="H14" s="29">
        <v>30.0</v>
      </c>
      <c r="I14" s="30">
        <f t="shared" si="8"/>
        <v>0</v>
      </c>
      <c r="J14" s="31">
        <f t="shared" si="3"/>
        <v>0</v>
      </c>
      <c r="K14" s="11"/>
      <c r="L14" s="11" t="s">
        <v>32</v>
      </c>
      <c r="M14" s="32"/>
      <c r="N14" s="29">
        <v>50.0</v>
      </c>
      <c r="O14" s="30">
        <f t="shared" si="4"/>
        <v>0</v>
      </c>
      <c r="P14" s="33" t="str">
        <f t="shared" si="5"/>
        <v>#DIV/0!</v>
      </c>
      <c r="Q14" s="11"/>
      <c r="R14" s="21"/>
      <c r="S14" s="22"/>
      <c r="V14" s="35">
        <f t="shared" si="6"/>
        <v>0</v>
      </c>
      <c r="W14" s="35" t="s">
        <v>25</v>
      </c>
      <c r="X14" s="35">
        <v>410.0</v>
      </c>
    </row>
    <row r="15">
      <c r="A15" s="23" t="s">
        <v>33</v>
      </c>
      <c r="B15" s="24"/>
      <c r="C15" s="14">
        <v>40.0</v>
      </c>
      <c r="D15" s="30">
        <f t="shared" si="7"/>
        <v>0</v>
      </c>
      <c r="E15" s="26">
        <f t="shared" si="1"/>
        <v>0</v>
      </c>
      <c r="F15" s="23" t="s">
        <v>33</v>
      </c>
      <c r="G15" s="28"/>
      <c r="H15" s="29">
        <v>40.0</v>
      </c>
      <c r="I15" s="30">
        <f t="shared" si="8"/>
        <v>0</v>
      </c>
      <c r="J15" s="31">
        <f t="shared" si="3"/>
        <v>0</v>
      </c>
      <c r="K15" s="11"/>
      <c r="L15" s="27"/>
      <c r="M15" s="32"/>
      <c r="N15" s="29">
        <v>50.0</v>
      </c>
      <c r="O15" s="30">
        <f t="shared" si="4"/>
        <v>0</v>
      </c>
      <c r="P15" s="33" t="str">
        <f t="shared" si="5"/>
        <v>#DIV/0!</v>
      </c>
      <c r="Q15" s="11"/>
      <c r="V15" s="35">
        <f t="shared" si="6"/>
        <v>0</v>
      </c>
      <c r="W15" s="35" t="s">
        <v>22</v>
      </c>
      <c r="X15" s="35">
        <v>684.0</v>
      </c>
    </row>
    <row r="16">
      <c r="A16" s="23" t="s">
        <v>34</v>
      </c>
      <c r="B16" s="24"/>
      <c r="C16" s="37">
        <v>39.0</v>
      </c>
      <c r="D16" s="30">
        <f t="shared" si="7"/>
        <v>0</v>
      </c>
      <c r="E16" s="38">
        <f t="shared" si="1"/>
        <v>0</v>
      </c>
      <c r="F16" s="39" t="s">
        <v>20</v>
      </c>
      <c r="G16" s="24"/>
      <c r="H16" s="29">
        <v>39.0</v>
      </c>
      <c r="I16" s="30">
        <f>+G16*0.39</f>
        <v>0</v>
      </c>
      <c r="J16" s="31">
        <f t="shared" si="3"/>
        <v>0</v>
      </c>
      <c r="K16" s="11"/>
      <c r="L16" s="11" t="s">
        <v>20</v>
      </c>
      <c r="M16" s="32"/>
      <c r="N16" s="29">
        <v>39.0</v>
      </c>
      <c r="O16" s="30">
        <f t="shared" si="4"/>
        <v>0</v>
      </c>
      <c r="P16" s="33" t="str">
        <f t="shared" si="5"/>
        <v>#DIV/0!</v>
      </c>
      <c r="Q16" s="11"/>
      <c r="T16" s="22"/>
      <c r="V16" s="35">
        <f>SUM(V6:V15)</f>
        <v>0</v>
      </c>
      <c r="W16" s="35" t="s">
        <v>19</v>
      </c>
      <c r="X16" s="35">
        <v>1089.0</v>
      </c>
    </row>
    <row r="17">
      <c r="A17" s="23" t="s">
        <v>35</v>
      </c>
      <c r="B17" s="24"/>
      <c r="C17" s="14">
        <v>49.0</v>
      </c>
      <c r="D17" s="30">
        <f t="shared" si="7"/>
        <v>0</v>
      </c>
      <c r="E17" s="38">
        <f t="shared" si="1"/>
        <v>0</v>
      </c>
      <c r="F17" s="40" t="s">
        <v>17</v>
      </c>
      <c r="G17" s="24">
        <f>1470+340</f>
        <v>1810</v>
      </c>
      <c r="H17" s="29">
        <v>49.0</v>
      </c>
      <c r="I17" s="30">
        <f t="shared" ref="I17:I19" si="9">+G17*H17/100</f>
        <v>886.9</v>
      </c>
      <c r="J17" s="31">
        <f t="shared" si="3"/>
        <v>7.566573304</v>
      </c>
      <c r="K17" s="11"/>
      <c r="L17" s="27" t="s">
        <v>17</v>
      </c>
      <c r="M17" s="32"/>
      <c r="N17" s="29">
        <v>49.0</v>
      </c>
      <c r="O17" s="30">
        <f t="shared" si="4"/>
        <v>0</v>
      </c>
      <c r="P17" s="33" t="str">
        <f t="shared" si="5"/>
        <v>#DIV/0!</v>
      </c>
      <c r="Q17" s="11"/>
      <c r="W17" s="35" t="s">
        <v>29</v>
      </c>
      <c r="X17" s="35">
        <v>279.0</v>
      </c>
    </row>
    <row r="18">
      <c r="A18" s="23" t="s">
        <v>36</v>
      </c>
      <c r="B18" s="24"/>
      <c r="C18" s="14">
        <v>49.0</v>
      </c>
      <c r="D18" s="30">
        <f t="shared" si="7"/>
        <v>0</v>
      </c>
      <c r="E18" s="38">
        <f t="shared" si="1"/>
        <v>0</v>
      </c>
      <c r="F18" s="41" t="s">
        <v>23</v>
      </c>
      <c r="G18" s="24">
        <v>2031.0</v>
      </c>
      <c r="H18" s="29">
        <v>49.0</v>
      </c>
      <c r="I18" s="30">
        <f t="shared" si="9"/>
        <v>995.19</v>
      </c>
      <c r="J18" s="31">
        <f t="shared" si="3"/>
        <v>8.490447724</v>
      </c>
      <c r="K18" s="11"/>
      <c r="L18" s="27" t="s">
        <v>23</v>
      </c>
      <c r="M18" s="32"/>
      <c r="N18" s="29">
        <v>49.0</v>
      </c>
      <c r="O18" s="30">
        <f t="shared" si="4"/>
        <v>0</v>
      </c>
      <c r="P18" s="33" t="str">
        <f t="shared" si="5"/>
        <v>#DIV/0!</v>
      </c>
      <c r="Q18" s="11"/>
      <c r="T18" s="42"/>
    </row>
    <row r="19">
      <c r="A19" s="23" t="s">
        <v>37</v>
      </c>
      <c r="B19" s="24"/>
      <c r="C19" s="14">
        <v>50.0</v>
      </c>
      <c r="D19" s="30">
        <f t="shared" si="7"/>
        <v>0</v>
      </c>
      <c r="E19" s="38">
        <f t="shared" si="1"/>
        <v>0</v>
      </c>
      <c r="F19" s="23" t="s">
        <v>37</v>
      </c>
      <c r="G19" s="24"/>
      <c r="H19" s="14">
        <v>50.0</v>
      </c>
      <c r="I19" s="30">
        <f t="shared" si="9"/>
        <v>0</v>
      </c>
      <c r="J19" s="31">
        <f t="shared" si="3"/>
        <v>0</v>
      </c>
      <c r="K19" s="11"/>
      <c r="L19" s="11" t="s">
        <v>38</v>
      </c>
      <c r="M19" s="32"/>
      <c r="N19" s="29">
        <v>40.0</v>
      </c>
      <c r="O19" s="29">
        <f>+M19*0.4</f>
        <v>0</v>
      </c>
      <c r="P19" s="33" t="str">
        <f t="shared" si="5"/>
        <v>#DIV/0!</v>
      </c>
      <c r="Q19" s="11"/>
      <c r="T19" s="42"/>
    </row>
    <row r="20">
      <c r="A20" s="43"/>
      <c r="B20" s="44"/>
      <c r="C20" s="14"/>
      <c r="D20" s="45"/>
      <c r="E20" s="46"/>
      <c r="F20" s="43"/>
      <c r="G20" s="24"/>
      <c r="H20" s="47"/>
      <c r="I20" s="45"/>
      <c r="J20" s="48"/>
      <c r="K20" s="11"/>
      <c r="L20" s="11"/>
      <c r="M20" s="32"/>
      <c r="N20" s="47"/>
      <c r="O20" s="47"/>
      <c r="P20" s="33"/>
      <c r="Q20" s="49"/>
      <c r="T20" s="42"/>
    </row>
    <row r="21" ht="15.75" customHeight="1">
      <c r="A21" s="43"/>
      <c r="B21" s="44"/>
      <c r="C21" s="14"/>
      <c r="D21" s="45"/>
      <c r="E21" s="46"/>
      <c r="F21" s="43"/>
      <c r="G21" s="24"/>
      <c r="H21" s="47"/>
      <c r="I21" s="45"/>
      <c r="J21" s="48"/>
      <c r="K21" s="50"/>
      <c r="L21" s="36"/>
      <c r="M21" s="32">
        <v>0.0</v>
      </c>
      <c r="N21" s="47"/>
      <c r="O21" s="47"/>
      <c r="P21" s="33"/>
      <c r="Q21" s="49">
        <v>0.0</v>
      </c>
    </row>
    <row r="22" ht="15.75" customHeight="1">
      <c r="A22" s="51" t="s">
        <v>39</v>
      </c>
      <c r="B22" s="52">
        <f>SUM(B4:B19)</f>
        <v>0</v>
      </c>
      <c r="C22" s="53"/>
      <c r="D22" s="54">
        <f t="shared" ref="D22:E22" si="10">SUM(D4:D19)</f>
        <v>72</v>
      </c>
      <c r="E22" s="55">
        <f t="shared" si="10"/>
        <v>100</v>
      </c>
      <c r="F22" s="51" t="s">
        <v>39</v>
      </c>
      <c r="G22" s="52">
        <f>SUM(G4:G19)</f>
        <v>24473</v>
      </c>
      <c r="H22" s="52"/>
      <c r="I22" s="56">
        <f>SUM(I4:I19)</f>
        <v>11721.29</v>
      </c>
      <c r="J22" s="57">
        <f>SUM(J3:J19)</f>
        <v>100</v>
      </c>
      <c r="K22" s="58">
        <f>SUM(K4:K19)</f>
        <v>0</v>
      </c>
      <c r="L22" s="11" t="s">
        <v>39</v>
      </c>
      <c r="M22" s="59">
        <f>+M21+M20+M19+M18+M17+M16+M15+M14+M13+M12+M11+M10+M9+M8+M7+M6+M5+M4</f>
        <v>0</v>
      </c>
      <c r="N22" s="52">
        <f>SUM(N4:N21)</f>
        <v>717</v>
      </c>
      <c r="O22" s="52">
        <f t="shared" ref="O22:Q22" si="11">SUM(O4:O19)</f>
        <v>0</v>
      </c>
      <c r="P22" s="60" t="str">
        <f t="shared" si="11"/>
        <v>#DIV/0!</v>
      </c>
      <c r="Q22" s="36">
        <f t="shared" si="11"/>
        <v>0</v>
      </c>
    </row>
    <row r="23" ht="15.75" customHeight="1">
      <c r="A23" s="61"/>
      <c r="I23" s="49" t="s">
        <v>40</v>
      </c>
      <c r="J23" s="62">
        <f>+K22/I22</f>
        <v>0</v>
      </c>
      <c r="L23" s="42"/>
      <c r="M23" s="49" t="s">
        <v>41</v>
      </c>
      <c r="O23" s="63" t="str">
        <f>+Q22/O22</f>
        <v>#DIV/0!</v>
      </c>
      <c r="R23" s="35">
        <v>11911.0</v>
      </c>
      <c r="S23" s="35">
        <f>+M22-R23</f>
        <v>-11911</v>
      </c>
    </row>
    <row r="24" ht="26.25" customHeight="1">
      <c r="K24" s="64"/>
    </row>
    <row r="25" ht="15.75" customHeight="1">
      <c r="A25" s="65" t="s">
        <v>42</v>
      </c>
      <c r="B25" s="66"/>
      <c r="C25" s="66"/>
      <c r="D25" s="67"/>
      <c r="E25" s="68" t="s">
        <v>43</v>
      </c>
      <c r="F25" s="69" t="s">
        <v>44</v>
      </c>
      <c r="G25" s="70"/>
      <c r="H25" s="70"/>
      <c r="I25" s="71"/>
      <c r="J25" s="8"/>
      <c r="K25" s="72" t="s">
        <v>45</v>
      </c>
      <c r="L25" s="73"/>
      <c r="M25" s="73"/>
      <c r="N25" s="73"/>
      <c r="O25" s="73"/>
      <c r="P25" s="73"/>
      <c r="Q25" s="74"/>
    </row>
    <row r="26" ht="15.75" customHeight="1">
      <c r="A26" s="75"/>
      <c r="B26" s="11"/>
      <c r="C26" s="11"/>
      <c r="D26" s="11"/>
      <c r="E26" s="76" t="s">
        <v>46</v>
      </c>
      <c r="F26" s="12" t="s">
        <v>4</v>
      </c>
      <c r="G26" s="13" t="s">
        <v>5</v>
      </c>
      <c r="H26" s="15"/>
      <c r="I26" s="15" t="s">
        <v>6</v>
      </c>
      <c r="J26" s="77" t="s">
        <v>8</v>
      </c>
      <c r="K26" s="78" t="s">
        <v>47</v>
      </c>
      <c r="L26" s="79" t="s">
        <v>48</v>
      </c>
      <c r="M26" s="79" t="s">
        <v>49</v>
      </c>
      <c r="N26" s="79" t="s">
        <v>50</v>
      </c>
      <c r="O26" s="79" t="s">
        <v>50</v>
      </c>
      <c r="P26" s="80" t="s">
        <v>39</v>
      </c>
      <c r="Q26" s="81"/>
    </row>
    <row r="27" ht="15.75" customHeight="1">
      <c r="A27" s="75" t="s">
        <v>51</v>
      </c>
      <c r="B27" s="11">
        <f>I43</f>
        <v>414.56</v>
      </c>
      <c r="C27" s="11"/>
      <c r="D27" s="11" t="s">
        <v>52</v>
      </c>
      <c r="E27" s="82"/>
      <c r="F27" s="23" t="s">
        <v>53</v>
      </c>
      <c r="G27" s="24">
        <v>499.0</v>
      </c>
      <c r="H27" s="29">
        <v>50.0</v>
      </c>
      <c r="I27" s="30">
        <f>G27*50/100</f>
        <v>249.5</v>
      </c>
      <c r="J27" s="83">
        <f>I27/I43*100</f>
        <v>60.18429178</v>
      </c>
      <c r="K27" s="84" t="s">
        <v>11</v>
      </c>
      <c r="L27" s="11"/>
      <c r="M27" s="11"/>
      <c r="N27" s="11"/>
      <c r="O27" s="85"/>
      <c r="P27" s="86">
        <f t="shared" ref="P27:P41" si="12">O27+M27+L27</f>
        <v>0</v>
      </c>
      <c r="Q27" s="81"/>
    </row>
    <row r="28" ht="15.75" customHeight="1">
      <c r="A28" s="75" t="s">
        <v>54</v>
      </c>
      <c r="B28" s="11">
        <v>0.0</v>
      </c>
      <c r="C28" s="11"/>
      <c r="D28" s="11" t="s">
        <v>52</v>
      </c>
      <c r="E28" s="82"/>
      <c r="F28" s="23" t="s">
        <v>12</v>
      </c>
      <c r="G28" s="24">
        <v>0.0</v>
      </c>
      <c r="H28" s="29">
        <v>30.0</v>
      </c>
      <c r="I28" s="30">
        <f>G28*30/100</f>
        <v>0</v>
      </c>
      <c r="J28" s="87">
        <f>I28/I43*100</f>
        <v>0</v>
      </c>
      <c r="K28" s="11" t="s">
        <v>13</v>
      </c>
      <c r="L28" s="11"/>
      <c r="M28" s="11"/>
      <c r="N28" s="11"/>
      <c r="O28" s="85"/>
      <c r="P28" s="86">
        <f t="shared" si="12"/>
        <v>0</v>
      </c>
      <c r="Q28" s="81"/>
    </row>
    <row r="29" ht="15.75" customHeight="1">
      <c r="A29" s="75" t="s">
        <v>55</v>
      </c>
      <c r="B29" s="11">
        <v>0.0</v>
      </c>
      <c r="C29" s="11"/>
      <c r="D29" s="11" t="s">
        <v>52</v>
      </c>
      <c r="E29" s="82"/>
      <c r="F29" s="34" t="s">
        <v>14</v>
      </c>
      <c r="G29" s="24">
        <v>0.0</v>
      </c>
      <c r="H29" s="29">
        <v>50.0</v>
      </c>
      <c r="I29" s="30">
        <f t="shared" ref="I29:I31" si="13">G29*50/100</f>
        <v>0</v>
      </c>
      <c r="J29" s="87">
        <f>I29/I43*100</f>
        <v>0</v>
      </c>
      <c r="K29" s="11" t="s">
        <v>16</v>
      </c>
      <c r="L29" s="11"/>
      <c r="M29" s="11"/>
      <c r="N29" s="11"/>
      <c r="O29" s="85"/>
      <c r="P29" s="86">
        <f t="shared" si="12"/>
        <v>0</v>
      </c>
      <c r="Q29" s="81"/>
    </row>
    <row r="30" ht="15.75" customHeight="1">
      <c r="A30" s="75" t="s">
        <v>56</v>
      </c>
      <c r="B30" s="11">
        <v>0.0</v>
      </c>
      <c r="C30" s="11"/>
      <c r="D30" s="11" t="s">
        <v>52</v>
      </c>
      <c r="E30" s="82"/>
      <c r="F30" s="36" t="s">
        <v>16</v>
      </c>
      <c r="G30" s="24">
        <v>0.0</v>
      </c>
      <c r="H30" s="29">
        <v>50.0</v>
      </c>
      <c r="I30" s="30">
        <f t="shared" si="13"/>
        <v>0</v>
      </c>
      <c r="J30" s="87">
        <f>I30/I43*100</f>
        <v>0</v>
      </c>
      <c r="K30" s="27" t="s">
        <v>57</v>
      </c>
      <c r="L30" s="11"/>
      <c r="M30" s="11"/>
      <c r="N30" s="88"/>
      <c r="O30" s="85"/>
      <c r="P30" s="86">
        <f t="shared" si="12"/>
        <v>0</v>
      </c>
      <c r="Q30" s="81"/>
      <c r="S30" s="11">
        <v>0.0</v>
      </c>
      <c r="T30" s="11">
        <v>0.0</v>
      </c>
      <c r="U30" s="11"/>
      <c r="V30" s="85" t="str">
        <f>+VLOOKUP(R30,'june 6'!$A$25:$B$32,2,0)</f>
        <v>#N/A</v>
      </c>
      <c r="W30" s="36">
        <v>0.0</v>
      </c>
      <c r="X30" s="85" t="str">
        <f>+W30+V30+T30+S30</f>
        <v>#N/A</v>
      </c>
    </row>
    <row r="31" ht="15.75" customHeight="1">
      <c r="A31" s="75" t="s">
        <v>58</v>
      </c>
      <c r="B31" s="11">
        <f>G48</f>
        <v>414.56</v>
      </c>
      <c r="C31" s="11"/>
      <c r="D31" s="11" t="s">
        <v>52</v>
      </c>
      <c r="E31" s="82"/>
      <c r="F31" s="23" t="s">
        <v>18</v>
      </c>
      <c r="G31" s="24">
        <v>35.0</v>
      </c>
      <c r="H31" s="29">
        <v>50.0</v>
      </c>
      <c r="I31" s="30">
        <f t="shared" si="13"/>
        <v>17.5</v>
      </c>
      <c r="J31" s="87">
        <f>I31/I43*100</f>
        <v>4.221343111</v>
      </c>
      <c r="K31" s="11" t="s">
        <v>19</v>
      </c>
      <c r="L31" s="11"/>
      <c r="M31" s="89"/>
      <c r="N31" s="88"/>
      <c r="O31" s="85"/>
      <c r="P31" s="86">
        <f t="shared" si="12"/>
        <v>0</v>
      </c>
      <c r="Q31" s="81"/>
    </row>
    <row r="32" ht="15.75" customHeight="1">
      <c r="A32" s="23" t="s">
        <v>59</v>
      </c>
      <c r="B32" s="88">
        <f>B31/28</f>
        <v>14.80571429</v>
      </c>
      <c r="C32" s="88"/>
      <c r="D32" s="11" t="s">
        <v>60</v>
      </c>
      <c r="E32" s="90"/>
      <c r="F32" s="23" t="s">
        <v>21</v>
      </c>
      <c r="G32" s="24">
        <v>0.0</v>
      </c>
      <c r="H32" s="29">
        <v>30.0</v>
      </c>
      <c r="I32" s="30">
        <f>G32*30/100</f>
        <v>0</v>
      </c>
      <c r="J32" s="87">
        <f>I32/I43*100</f>
        <v>0</v>
      </c>
      <c r="K32" s="27" t="s">
        <v>22</v>
      </c>
      <c r="L32" s="11"/>
      <c r="M32" s="11"/>
      <c r="N32" s="11"/>
      <c r="O32" s="85"/>
      <c r="P32" s="86">
        <f t="shared" si="12"/>
        <v>0</v>
      </c>
      <c r="Q32" s="81"/>
    </row>
    <row r="33" ht="15.75" customHeight="1">
      <c r="A33" s="23" t="s">
        <v>61</v>
      </c>
      <c r="B33" s="11">
        <v>0.0</v>
      </c>
      <c r="C33" s="11"/>
      <c r="D33" s="11" t="s">
        <v>60</v>
      </c>
      <c r="E33" s="91">
        <f>B32*30</f>
        <v>444.1714286</v>
      </c>
      <c r="F33" s="23" t="s">
        <v>24</v>
      </c>
      <c r="G33" s="24">
        <v>56.0</v>
      </c>
      <c r="H33" s="29">
        <v>50.0</v>
      </c>
      <c r="I33" s="30">
        <f>G33*50/100</f>
        <v>28</v>
      </c>
      <c r="J33" s="87">
        <f>I33/I43*100</f>
        <v>6.754148977</v>
      </c>
      <c r="K33" s="11" t="s">
        <v>25</v>
      </c>
      <c r="L33" s="11"/>
      <c r="M33" s="11"/>
      <c r="N33" s="11"/>
      <c r="O33" s="85"/>
      <c r="P33" s="86">
        <f t="shared" si="12"/>
        <v>0</v>
      </c>
      <c r="Q33" s="81"/>
    </row>
    <row r="34" ht="15.75" customHeight="1">
      <c r="A34" s="75" t="s">
        <v>62</v>
      </c>
      <c r="B34" s="92">
        <f>J40</f>
        <v>9.455808568</v>
      </c>
      <c r="C34" s="11"/>
      <c r="D34" s="11"/>
      <c r="E34" s="93"/>
      <c r="F34" s="23" t="s">
        <v>26</v>
      </c>
      <c r="G34" s="24">
        <v>0.0</v>
      </c>
      <c r="H34" s="29">
        <v>30.0</v>
      </c>
      <c r="I34" s="30">
        <f>G34*30/100</f>
        <v>0</v>
      </c>
      <c r="J34" s="87">
        <f>I34/I43*100</f>
        <v>0</v>
      </c>
      <c r="K34" s="27" t="s">
        <v>27</v>
      </c>
      <c r="L34" s="11"/>
      <c r="M34" s="11"/>
      <c r="N34" s="11"/>
      <c r="O34" s="85"/>
      <c r="P34" s="86">
        <f t="shared" si="12"/>
        <v>0</v>
      </c>
      <c r="Q34" s="81"/>
    </row>
    <row r="35" ht="15.75" customHeight="1">
      <c r="A35" s="75" t="s">
        <v>63</v>
      </c>
      <c r="B35" s="92">
        <f>J42</f>
        <v>0</v>
      </c>
      <c r="C35" s="11"/>
      <c r="D35" s="11"/>
      <c r="E35" s="93"/>
      <c r="F35" s="23" t="s">
        <v>28</v>
      </c>
      <c r="G35" s="24">
        <v>0.0</v>
      </c>
      <c r="H35" s="29">
        <v>50.0</v>
      </c>
      <c r="I35" s="30">
        <f t="shared" ref="I35:I36" si="14">G35*50/100</f>
        <v>0</v>
      </c>
      <c r="J35" s="87">
        <f>I35/I43*100</f>
        <v>0</v>
      </c>
      <c r="K35" s="27" t="s">
        <v>29</v>
      </c>
      <c r="L35" s="11"/>
      <c r="M35" s="11"/>
      <c r="N35" s="11"/>
      <c r="O35" s="85"/>
      <c r="P35" s="86">
        <f t="shared" si="12"/>
        <v>0</v>
      </c>
      <c r="Q35" s="81"/>
    </row>
    <row r="36" ht="15.75" customHeight="1">
      <c r="A36" s="75" t="s">
        <v>64</v>
      </c>
      <c r="B36" s="92">
        <f>J41</f>
        <v>19.38440756</v>
      </c>
      <c r="C36" s="11"/>
      <c r="D36" s="11"/>
      <c r="E36" s="93"/>
      <c r="F36" s="23" t="s">
        <v>31</v>
      </c>
      <c r="G36" s="24">
        <v>0.0</v>
      </c>
      <c r="H36" s="29">
        <v>50.0</v>
      </c>
      <c r="I36" s="30">
        <f t="shared" si="14"/>
        <v>0</v>
      </c>
      <c r="J36" s="87">
        <v>0.0</v>
      </c>
      <c r="K36" s="36" t="s">
        <v>31</v>
      </c>
      <c r="L36" s="11"/>
      <c r="M36" s="11"/>
      <c r="N36" s="36"/>
      <c r="O36" s="85"/>
      <c r="P36" s="86">
        <f t="shared" si="12"/>
        <v>0</v>
      </c>
      <c r="Q36" s="81"/>
    </row>
    <row r="37" ht="15.75" customHeight="1">
      <c r="A37" s="75" t="s">
        <v>65</v>
      </c>
      <c r="B37" s="92">
        <f>J39</f>
        <v>0</v>
      </c>
      <c r="C37" s="11"/>
      <c r="D37" s="11"/>
      <c r="E37" s="94"/>
      <c r="F37" s="23" t="s">
        <v>32</v>
      </c>
      <c r="G37" s="24">
        <v>0.0</v>
      </c>
      <c r="H37" s="29">
        <v>30.0</v>
      </c>
      <c r="I37" s="30">
        <f>G37*30/100</f>
        <v>0</v>
      </c>
      <c r="J37" s="87">
        <v>0.0</v>
      </c>
      <c r="K37" s="36" t="s">
        <v>32</v>
      </c>
      <c r="L37" s="11"/>
      <c r="M37" s="11"/>
      <c r="N37" s="36"/>
      <c r="O37" s="85"/>
      <c r="P37" s="86">
        <f t="shared" si="12"/>
        <v>0</v>
      </c>
      <c r="Q37" s="81"/>
    </row>
    <row r="38" ht="15.75" customHeight="1">
      <c r="A38" s="23" t="s">
        <v>66</v>
      </c>
      <c r="B38" s="95">
        <f>SUM(B34:B37)</f>
        <v>28.84021613</v>
      </c>
      <c r="C38" s="11"/>
      <c r="D38" s="11"/>
      <c r="E38" s="96"/>
      <c r="F38" s="40" t="s">
        <v>67</v>
      </c>
      <c r="G38" s="24">
        <v>0.0</v>
      </c>
      <c r="H38" s="29">
        <v>40.0</v>
      </c>
      <c r="I38" s="30">
        <f>G38*40/100</f>
        <v>0</v>
      </c>
      <c r="J38" s="87">
        <f>I38/I43*100</f>
        <v>0</v>
      </c>
      <c r="K38" s="97" t="s">
        <v>67</v>
      </c>
      <c r="L38" s="11"/>
      <c r="M38" s="11"/>
      <c r="N38" s="36"/>
      <c r="O38" s="85"/>
      <c r="P38" s="86">
        <f t="shared" si="12"/>
        <v>0</v>
      </c>
      <c r="Q38" s="81"/>
    </row>
    <row r="39" ht="15.75" customHeight="1">
      <c r="A39" s="75" t="s">
        <v>68</v>
      </c>
      <c r="B39" s="11">
        <v>0.0</v>
      </c>
      <c r="C39" s="11"/>
      <c r="D39" s="11"/>
      <c r="E39" s="98"/>
      <c r="F39" s="23" t="s">
        <v>34</v>
      </c>
      <c r="G39" s="24">
        <v>0.0</v>
      </c>
      <c r="H39" s="29">
        <v>39.0</v>
      </c>
      <c r="I39" s="30">
        <f>G39*39/100</f>
        <v>0</v>
      </c>
      <c r="J39" s="87">
        <f>I39/I43*100</f>
        <v>0</v>
      </c>
      <c r="K39" s="36" t="s">
        <v>20</v>
      </c>
      <c r="L39" s="11"/>
      <c r="M39" s="11"/>
      <c r="N39" s="36"/>
      <c r="O39" s="85"/>
      <c r="P39" s="86">
        <f t="shared" si="12"/>
        <v>0</v>
      </c>
      <c r="Q39" s="81"/>
      <c r="S39" s="99"/>
    </row>
    <row r="40" ht="15.75" customHeight="1">
      <c r="A40" s="75" t="s">
        <v>69</v>
      </c>
      <c r="B40" s="58">
        <f>+B27/G52</f>
        <v>30.93731343</v>
      </c>
      <c r="C40" s="11"/>
      <c r="D40" s="11"/>
      <c r="E40" s="98"/>
      <c r="F40" s="23" t="s">
        <v>35</v>
      </c>
      <c r="G40" s="24">
        <v>80.0</v>
      </c>
      <c r="H40" s="29">
        <v>49.0</v>
      </c>
      <c r="I40" s="30">
        <f t="shared" ref="I40:I42" si="15">G40*49/100</f>
        <v>39.2</v>
      </c>
      <c r="J40" s="87">
        <f>I40/I43*100</f>
        <v>9.455808568</v>
      </c>
      <c r="K40" s="97" t="s">
        <v>17</v>
      </c>
      <c r="L40" s="11"/>
      <c r="M40" s="11"/>
      <c r="N40" s="100"/>
      <c r="O40" s="85"/>
      <c r="P40" s="86">
        <f t="shared" si="12"/>
        <v>0</v>
      </c>
      <c r="Q40" s="81"/>
      <c r="R40" s="101">
        <f>+G22-Q42</f>
        <v>24473</v>
      </c>
    </row>
    <row r="41" ht="15.75" customHeight="1">
      <c r="A41" s="75" t="s">
        <v>70</v>
      </c>
      <c r="B41" s="11">
        <v>0.0</v>
      </c>
      <c r="C41" s="11"/>
      <c r="D41" s="11">
        <v>0.0</v>
      </c>
      <c r="E41" s="98"/>
      <c r="F41" s="23" t="s">
        <v>36</v>
      </c>
      <c r="G41" s="24">
        <v>164.0</v>
      </c>
      <c r="H41" s="29">
        <v>49.0</v>
      </c>
      <c r="I41" s="30">
        <f t="shared" si="15"/>
        <v>80.36</v>
      </c>
      <c r="J41" s="87">
        <f>I41/I43*100</f>
        <v>19.38440756</v>
      </c>
      <c r="K41" s="34" t="s">
        <v>23</v>
      </c>
      <c r="L41" s="11"/>
      <c r="M41" s="102"/>
      <c r="N41" s="102"/>
      <c r="O41" s="85"/>
      <c r="P41" s="86">
        <f t="shared" si="12"/>
        <v>0</v>
      </c>
      <c r="Q41" s="81"/>
      <c r="R41" s="35">
        <v>2051.0</v>
      </c>
      <c r="S41" s="101">
        <f>+Q42-R41</f>
        <v>-2051</v>
      </c>
    </row>
    <row r="42" ht="15.75" customHeight="1">
      <c r="A42" s="75" t="s">
        <v>71</v>
      </c>
      <c r="B42" s="11">
        <v>0.0</v>
      </c>
      <c r="C42" s="11"/>
      <c r="D42" s="11"/>
      <c r="E42" s="98" t="s">
        <v>72</v>
      </c>
      <c r="F42" s="23" t="s">
        <v>73</v>
      </c>
      <c r="G42" s="24">
        <v>0.0</v>
      </c>
      <c r="H42" s="29">
        <v>49.0</v>
      </c>
      <c r="I42" s="30">
        <f t="shared" si="15"/>
        <v>0</v>
      </c>
      <c r="J42" s="103">
        <f>I42/I43*100</f>
        <v>0</v>
      </c>
      <c r="K42" s="12"/>
      <c r="L42" s="35">
        <f t="shared" ref="L42:M42" si="16">SUM(L27:L41)</f>
        <v>0</v>
      </c>
      <c r="M42" s="35">
        <f t="shared" si="16"/>
        <v>0</v>
      </c>
      <c r="O42" s="101">
        <f>SUM(O27:O41)</f>
        <v>0</v>
      </c>
      <c r="P42" s="86">
        <f>SUM(P27:Q41)</f>
        <v>0</v>
      </c>
      <c r="Q42" s="81"/>
    </row>
    <row r="43" ht="15.75" customHeight="1">
      <c r="A43" s="75" t="s">
        <v>74</v>
      </c>
      <c r="B43" s="11">
        <v>0.0</v>
      </c>
      <c r="C43" s="11"/>
      <c r="D43" s="11"/>
      <c r="E43" s="98" t="s">
        <v>72</v>
      </c>
      <c r="F43" s="51" t="s">
        <v>39</v>
      </c>
      <c r="G43" s="52">
        <f>SUM(G27:G42)</f>
        <v>834</v>
      </c>
      <c r="H43" s="52"/>
      <c r="I43" s="52">
        <f t="shared" ref="I43:J43" si="17">SUM(I27:I42)</f>
        <v>414.56</v>
      </c>
      <c r="J43" s="56">
        <f t="shared" si="17"/>
        <v>100</v>
      </c>
      <c r="K43" s="104"/>
      <c r="L43" s="73"/>
      <c r="M43" s="73"/>
      <c r="N43" s="73"/>
      <c r="O43" s="73"/>
      <c r="P43" s="73"/>
      <c r="Q43" s="74"/>
    </row>
    <row r="44" ht="15.75" customHeight="1">
      <c r="A44" s="105"/>
      <c r="B44" s="106"/>
      <c r="C44" s="106"/>
      <c r="D44" s="107"/>
      <c r="E44" s="108"/>
      <c r="F44" s="105"/>
      <c r="G44" s="106"/>
      <c r="H44" s="106"/>
      <c r="I44" s="106"/>
      <c r="J44" s="106"/>
      <c r="K44" s="109"/>
      <c r="L44" s="110"/>
      <c r="M44" s="110"/>
      <c r="N44" s="110"/>
      <c r="O44" s="110"/>
      <c r="P44" s="110"/>
      <c r="Q44" s="111"/>
    </row>
    <row r="45" ht="15.75" customHeight="1">
      <c r="A45" s="112" t="s">
        <v>75</v>
      </c>
      <c r="B45" s="113" t="s">
        <v>76</v>
      </c>
      <c r="C45" s="114" t="s">
        <v>77</v>
      </c>
      <c r="D45" s="115" t="s">
        <v>78</v>
      </c>
      <c r="E45" s="68"/>
      <c r="F45" s="116" t="s">
        <v>79</v>
      </c>
      <c r="G45" s="6"/>
      <c r="H45" s="117"/>
      <c r="I45" s="118" t="s">
        <v>80</v>
      </c>
      <c r="J45" s="119"/>
      <c r="K45" s="120"/>
      <c r="L45" s="121"/>
      <c r="M45" s="122" t="s">
        <v>81</v>
      </c>
      <c r="N45" s="122"/>
      <c r="O45" s="122" t="s">
        <v>82</v>
      </c>
      <c r="P45" s="123" t="s">
        <v>83</v>
      </c>
      <c r="Q45" s="124"/>
      <c r="R45" s="42"/>
    </row>
    <row r="46" ht="15.75" customHeight="1">
      <c r="A46" s="75" t="s">
        <v>53</v>
      </c>
      <c r="B46" s="125">
        <v>0.1431</v>
      </c>
      <c r="C46" s="11"/>
      <c r="D46" s="126">
        <f>+B46*J27/100</f>
        <v>0.08612372154</v>
      </c>
      <c r="E46" s="127"/>
      <c r="F46" s="23" t="s">
        <v>84</v>
      </c>
      <c r="G46" s="128">
        <v>0.0</v>
      </c>
      <c r="I46" s="129">
        <v>0.0</v>
      </c>
      <c r="J46" s="130" t="s">
        <v>85</v>
      </c>
      <c r="K46" s="131" t="s">
        <v>86</v>
      </c>
      <c r="L46" s="81"/>
      <c r="M46" s="132">
        <f>I22</f>
        <v>11721.29</v>
      </c>
      <c r="N46" s="24"/>
      <c r="O46" s="132"/>
      <c r="P46" s="133">
        <f t="shared" ref="P46:P47" si="18">O46/12</f>
        <v>0</v>
      </c>
      <c r="Q46" s="134">
        <f t="shared" ref="Q46:Q47" si="19">+P46*31</f>
        <v>0</v>
      </c>
      <c r="R46" s="63"/>
    </row>
    <row r="47" ht="15.75" customHeight="1">
      <c r="A47" s="75" t="s">
        <v>87</v>
      </c>
      <c r="B47" s="125">
        <v>0.1388</v>
      </c>
      <c r="C47" s="11"/>
      <c r="D47" s="126">
        <f t="shared" ref="D47:D48" si="20">+B47*J30/100</f>
        <v>0</v>
      </c>
      <c r="E47" s="127"/>
      <c r="F47" s="23" t="s">
        <v>81</v>
      </c>
      <c r="G47" s="135">
        <f>I43</f>
        <v>414.56</v>
      </c>
      <c r="I47" s="136" t="str">
        <f>M56</f>
        <v/>
      </c>
      <c r="J47" s="130" t="s">
        <v>88</v>
      </c>
      <c r="K47" s="131" t="s">
        <v>89</v>
      </c>
      <c r="L47" s="81"/>
      <c r="M47" s="132">
        <f>K22</f>
        <v>0</v>
      </c>
      <c r="N47" s="24"/>
      <c r="O47" s="132"/>
      <c r="P47" s="133">
        <f t="shared" si="18"/>
        <v>0</v>
      </c>
      <c r="Q47" s="134">
        <f t="shared" si="19"/>
        <v>0</v>
      </c>
    </row>
    <row r="48" ht="15.75" customHeight="1">
      <c r="A48" s="75" t="s">
        <v>90</v>
      </c>
      <c r="B48" s="125">
        <v>0.148</v>
      </c>
      <c r="C48" s="11"/>
      <c r="D48" s="126">
        <f t="shared" si="20"/>
        <v>0.006247587804</v>
      </c>
      <c r="E48" s="127"/>
      <c r="F48" s="137" t="s">
        <v>91</v>
      </c>
      <c r="G48" s="138">
        <f>SUM(G46:G47)</f>
        <v>414.56</v>
      </c>
      <c r="I48" s="139">
        <f>SUM(I46:I47)</f>
        <v>0</v>
      </c>
      <c r="J48" s="140">
        <v>0.0</v>
      </c>
      <c r="K48" s="131" t="s">
        <v>92</v>
      </c>
      <c r="L48" s="81"/>
      <c r="M48" s="141">
        <f>M47/M46</f>
        <v>0</v>
      </c>
      <c r="N48" s="132"/>
      <c r="O48" s="141">
        <v>2.9422161E7</v>
      </c>
      <c r="P48" s="133">
        <f>O48</f>
        <v>29422161</v>
      </c>
      <c r="Q48" s="124" t="str">
        <f>+Q47/Q46</f>
        <v>#DIV/0!</v>
      </c>
    </row>
    <row r="49" ht="15.75" customHeight="1">
      <c r="A49" s="75" t="s">
        <v>24</v>
      </c>
      <c r="B49" s="125">
        <v>0.1476</v>
      </c>
      <c r="C49" s="11"/>
      <c r="D49" s="126">
        <f>+B49*J33/100</f>
        <v>0.00996912389</v>
      </c>
      <c r="E49" s="127"/>
      <c r="F49" s="130"/>
      <c r="I49" s="139">
        <f>G47</f>
        <v>414.56</v>
      </c>
      <c r="J49" s="140" t="s">
        <v>93</v>
      </c>
      <c r="K49" s="41" t="s">
        <v>94</v>
      </c>
      <c r="L49" s="142"/>
      <c r="M49" s="13"/>
      <c r="N49" s="13"/>
      <c r="O49" s="143" t="str">
        <f>+Q49/O46</f>
        <v>#DIV/0!</v>
      </c>
      <c r="P49" s="24"/>
      <c r="Q49" s="144"/>
    </row>
    <row r="50" ht="15.75" customHeight="1">
      <c r="A50" s="75" t="s">
        <v>28</v>
      </c>
      <c r="B50" s="125">
        <v>0.1462</v>
      </c>
      <c r="C50" s="11"/>
      <c r="D50" s="126">
        <f>+B50*J35/100</f>
        <v>0</v>
      </c>
      <c r="E50" s="127"/>
      <c r="F50" s="145" t="s">
        <v>95</v>
      </c>
      <c r="G50" s="74"/>
      <c r="I50" s="146">
        <f>I48-I49</f>
        <v>-414.56</v>
      </c>
      <c r="J50" s="140" t="s">
        <v>96</v>
      </c>
      <c r="K50" s="147" t="s">
        <v>97</v>
      </c>
      <c r="L50" s="148"/>
      <c r="M50" s="141">
        <f>+M48*2/100</f>
        <v>0</v>
      </c>
      <c r="N50" s="24"/>
      <c r="O50" s="132">
        <f>+O48*2/100</f>
        <v>588443.22</v>
      </c>
      <c r="P50" s="24"/>
      <c r="Q50" s="124"/>
      <c r="S50" s="42"/>
    </row>
    <row r="51" ht="15.75" customHeight="1">
      <c r="A51" s="75" t="s">
        <v>98</v>
      </c>
      <c r="B51" s="125">
        <v>0.1416</v>
      </c>
      <c r="C51" s="11"/>
      <c r="D51" s="149">
        <f t="shared" ref="D51:D53" si="21">+B51*J39/100</f>
        <v>0</v>
      </c>
      <c r="E51" s="127"/>
      <c r="F51" s="150" t="s">
        <v>99</v>
      </c>
      <c r="G51" s="151">
        <v>10.2</v>
      </c>
      <c r="H51" s="35">
        <v>17.0</v>
      </c>
      <c r="I51" s="140" t="s">
        <v>100</v>
      </c>
      <c r="J51" s="130"/>
      <c r="K51" s="147" t="s">
        <v>101</v>
      </c>
      <c r="L51" s="148"/>
      <c r="M51" s="152">
        <f>+M48-M50</f>
        <v>0</v>
      </c>
      <c r="N51" s="44"/>
      <c r="O51" s="152">
        <f>+O48-O50</f>
        <v>28833717.78</v>
      </c>
      <c r="P51" s="24"/>
      <c r="Q51" s="124"/>
      <c r="S51" s="22"/>
    </row>
    <row r="52" ht="15.75" customHeight="1">
      <c r="A52" s="75" t="s">
        <v>102</v>
      </c>
      <c r="B52" s="125">
        <v>0.1358</v>
      </c>
      <c r="C52" s="29"/>
      <c r="D52" s="149">
        <f t="shared" si="21"/>
        <v>0.01284098804</v>
      </c>
      <c r="E52" s="127"/>
      <c r="F52" s="137" t="s">
        <v>103</v>
      </c>
      <c r="G52" s="151">
        <v>13.4</v>
      </c>
      <c r="H52" s="35">
        <v>8.3</v>
      </c>
      <c r="I52" s="153">
        <v>0.0</v>
      </c>
      <c r="J52" s="105" t="s">
        <v>104</v>
      </c>
      <c r="K52" s="131" t="s">
        <v>105</v>
      </c>
      <c r="L52" s="81"/>
      <c r="M52" s="24">
        <v>0.0</v>
      </c>
      <c r="N52" s="24"/>
      <c r="O52" s="154">
        <v>0.0</v>
      </c>
      <c r="P52" s="28"/>
      <c r="Q52" s="124"/>
    </row>
    <row r="53" ht="15.75" customHeight="1">
      <c r="A53" s="75" t="s">
        <v>106</v>
      </c>
      <c r="B53" s="125">
        <v>0.1416</v>
      </c>
      <c r="C53" s="11"/>
      <c r="D53" s="149">
        <f t="shared" si="21"/>
        <v>0.02744832111</v>
      </c>
      <c r="E53" s="127"/>
      <c r="F53" s="155"/>
      <c r="G53" s="156"/>
      <c r="H53" s="157"/>
      <c r="I53" s="158" t="s">
        <v>107</v>
      </c>
      <c r="J53" s="159"/>
      <c r="K53" s="160" t="s">
        <v>108</v>
      </c>
      <c r="L53" s="161"/>
      <c r="M53" s="44">
        <v>0.0</v>
      </c>
      <c r="N53" s="44"/>
      <c r="O53" s="44">
        <v>0.0</v>
      </c>
      <c r="P53" s="49"/>
      <c r="Q53" s="162"/>
    </row>
    <row r="54" ht="15.75" customHeight="1">
      <c r="A54" s="75" t="s">
        <v>39</v>
      </c>
      <c r="B54" s="125">
        <f>SUM(B46:B53)</f>
        <v>1.1427</v>
      </c>
      <c r="C54" s="11"/>
      <c r="D54" s="125">
        <f>SUM(D46:D53)</f>
        <v>0.1426297424</v>
      </c>
      <c r="E54" s="163"/>
      <c r="F54" s="164" t="s">
        <v>109</v>
      </c>
      <c r="G54" s="5"/>
      <c r="H54" s="5"/>
      <c r="I54" s="5"/>
      <c r="J54" s="6"/>
      <c r="K54" s="24" t="s">
        <v>110</v>
      </c>
      <c r="L54" s="24"/>
      <c r="M54" s="24">
        <v>0.0</v>
      </c>
      <c r="N54" s="24"/>
      <c r="O54" s="24">
        <v>0.0</v>
      </c>
      <c r="P54" s="36"/>
      <c r="Q54" s="36"/>
      <c r="R54" s="42">
        <v>0.0</v>
      </c>
    </row>
    <row r="55" ht="15.75" customHeight="1">
      <c r="A55" s="23" t="s">
        <v>111</v>
      </c>
      <c r="B55" s="165">
        <v>0.103</v>
      </c>
      <c r="C55" s="11"/>
      <c r="D55" s="11"/>
      <c r="E55" s="166"/>
      <c r="F55" s="23" t="s">
        <v>112</v>
      </c>
      <c r="G55" s="167">
        <v>0.6</v>
      </c>
      <c r="H55" s="11"/>
      <c r="I55" s="36" t="s">
        <v>113</v>
      </c>
      <c r="J55" s="168">
        <v>0.91</v>
      </c>
      <c r="K55" s="49"/>
      <c r="L55" s="14"/>
      <c r="M55" s="64"/>
      <c r="N55" s="64"/>
      <c r="O55" s="64"/>
      <c r="P55" s="49"/>
      <c r="Q55" s="169"/>
      <c r="R55" s="42">
        <f t="shared" ref="R55:R56" si="22">+M56+O56</f>
        <v>0</v>
      </c>
    </row>
    <row r="56" ht="15.75" customHeight="1">
      <c r="A56" s="23" t="s">
        <v>114</v>
      </c>
      <c r="B56" s="170">
        <f>+D54-B55</f>
        <v>0.03962974238</v>
      </c>
      <c r="C56" s="11"/>
      <c r="D56" s="11"/>
      <c r="E56" s="163"/>
      <c r="F56" s="23" t="s">
        <v>115</v>
      </c>
      <c r="G56" s="171">
        <v>0.0979</v>
      </c>
      <c r="H56" s="11"/>
      <c r="I56" s="36" t="s">
        <v>116</v>
      </c>
      <c r="J56" s="168">
        <v>27.0</v>
      </c>
      <c r="K56" s="20" t="s">
        <v>117</v>
      </c>
      <c r="L56" s="81"/>
      <c r="M56" s="132"/>
      <c r="N56" s="24"/>
      <c r="O56" s="132"/>
      <c r="P56" s="133">
        <f t="shared" ref="P56:P57" si="23">O56/12</f>
        <v>0</v>
      </c>
      <c r="Q56" s="124">
        <f t="shared" ref="Q56:Q57" si="24">+P56*31</f>
        <v>0</v>
      </c>
      <c r="R56" s="42">
        <f t="shared" si="22"/>
        <v>0</v>
      </c>
    </row>
    <row r="57" ht="15.75" customHeight="1">
      <c r="A57" s="172"/>
      <c r="B57" s="173"/>
      <c r="C57" s="173"/>
      <c r="D57" s="173"/>
      <c r="E57" s="174"/>
      <c r="F57" s="175" t="s">
        <v>118</v>
      </c>
      <c r="G57" s="176">
        <v>130.0</v>
      </c>
      <c r="H57" s="177"/>
      <c r="I57" s="178" t="s">
        <v>119</v>
      </c>
      <c r="J57" s="178"/>
      <c r="K57" s="20" t="s">
        <v>120</v>
      </c>
      <c r="L57" s="81"/>
      <c r="M57" s="132"/>
      <c r="N57" s="24"/>
      <c r="O57" s="132"/>
      <c r="P57" s="133">
        <f t="shared" si="23"/>
        <v>0</v>
      </c>
      <c r="Q57" s="124">
        <f t="shared" si="24"/>
        <v>0</v>
      </c>
      <c r="R57" s="178"/>
    </row>
    <row r="58" ht="15.75" customHeight="1">
      <c r="A58" s="179" t="s">
        <v>121</v>
      </c>
      <c r="B58" s="180"/>
      <c r="C58" s="178"/>
      <c r="D58" s="178" t="s">
        <v>9</v>
      </c>
      <c r="E58" s="178"/>
      <c r="F58" s="178"/>
      <c r="G58" s="178"/>
      <c r="H58" s="178"/>
      <c r="I58" s="181" t="s">
        <v>122</v>
      </c>
      <c r="J58" s="182" t="s">
        <v>123</v>
      </c>
      <c r="K58" s="20" t="s">
        <v>124</v>
      </c>
      <c r="L58" s="81"/>
      <c r="M58" s="141" t="str">
        <f>M57/M56</f>
        <v>#DIV/0!</v>
      </c>
      <c r="N58" s="132"/>
      <c r="O58" s="141" t="str">
        <f>O57/O56</f>
        <v>#DIV/0!</v>
      </c>
      <c r="P58" s="133" t="str">
        <f>O58</f>
        <v>#DIV/0!</v>
      </c>
      <c r="Q58" s="124" t="str">
        <f>+Q57/Q56</f>
        <v>#DIV/0!</v>
      </c>
    </row>
    <row r="59" ht="15.75" customHeight="1">
      <c r="A59" s="183" t="s">
        <v>125</v>
      </c>
      <c r="B59" s="8">
        <f>D22</f>
        <v>72</v>
      </c>
      <c r="D59" s="11"/>
      <c r="I59" s="184" t="s">
        <v>126</v>
      </c>
      <c r="J59" s="185">
        <v>0.0</v>
      </c>
      <c r="K59" s="186"/>
      <c r="L59" s="187"/>
      <c r="M59" s="188"/>
      <c r="N59" s="188" t="s">
        <v>127</v>
      </c>
      <c r="O59" s="188"/>
      <c r="P59" s="188"/>
      <c r="Q59" s="124"/>
    </row>
    <row r="60" ht="15.75" customHeight="1">
      <c r="A60" s="189" t="s">
        <v>128</v>
      </c>
      <c r="B60" s="134">
        <f>I22</f>
        <v>11721.29</v>
      </c>
      <c r="C60" s="49"/>
      <c r="D60" s="190">
        <f>+K22</f>
        <v>0</v>
      </c>
      <c r="I60" s="191" t="s">
        <v>129</v>
      </c>
      <c r="J60" s="185">
        <v>0.0</v>
      </c>
      <c r="K60" s="192" t="s">
        <v>130</v>
      </c>
      <c r="L60" s="81"/>
      <c r="M60" s="193" t="str">
        <f>+M51-M58</f>
        <v>#DIV/0!</v>
      </c>
      <c r="N60" s="194" t="s">
        <v>131</v>
      </c>
      <c r="O60" s="193" t="str">
        <f>+O51-O58</f>
        <v>#DIV/0!</v>
      </c>
      <c r="P60" s="195" t="str">
        <f t="shared" ref="P60:Q60" si="25">+P48-P58</f>
        <v>#DIV/0!</v>
      </c>
      <c r="Q60" s="124" t="str">
        <f t="shared" si="25"/>
        <v>#DIV/0!</v>
      </c>
    </row>
    <row r="61" ht="15.75" customHeight="1">
      <c r="A61" s="189" t="s">
        <v>132</v>
      </c>
      <c r="B61" s="124">
        <f>G47</f>
        <v>414.56</v>
      </c>
      <c r="C61" s="49"/>
      <c r="D61" s="196"/>
      <c r="I61" s="191" t="s">
        <v>133</v>
      </c>
      <c r="J61" s="185">
        <v>0.0</v>
      </c>
      <c r="K61" s="192" t="s">
        <v>134</v>
      </c>
      <c r="L61" s="81"/>
      <c r="M61" s="89" t="str">
        <f>+M48-M58</f>
        <v>#DIV/0!</v>
      </c>
      <c r="N61" s="11" t="s">
        <v>135</v>
      </c>
      <c r="O61" s="89" t="str">
        <f>+O48-O58</f>
        <v>#DIV/0!</v>
      </c>
      <c r="P61" s="11"/>
      <c r="Q61" s="124"/>
    </row>
    <row r="62" ht="15.75" customHeight="1">
      <c r="A62" s="189" t="s">
        <v>136</v>
      </c>
      <c r="B62" s="124">
        <f>+O22</f>
        <v>0</v>
      </c>
      <c r="C62" s="49"/>
      <c r="D62" s="196">
        <f>+Q22</f>
        <v>0</v>
      </c>
      <c r="I62" s="178"/>
      <c r="J62" s="178"/>
      <c r="K62" s="197"/>
      <c r="L62" s="81"/>
      <c r="M62" s="198"/>
      <c r="N62" s="107" t="s">
        <v>137</v>
      </c>
      <c r="O62" s="107"/>
      <c r="P62" s="107"/>
      <c r="Q62" s="199"/>
    </row>
    <row r="63" ht="15.75" customHeight="1">
      <c r="A63" s="200" t="s">
        <v>138</v>
      </c>
      <c r="B63" s="162">
        <f>B31</f>
        <v>414.56</v>
      </c>
      <c r="C63" s="49"/>
      <c r="D63" s="201"/>
      <c r="I63" s="202" t="s">
        <v>139</v>
      </c>
      <c r="J63" s="70"/>
      <c r="K63" s="203"/>
      <c r="L63" s="204"/>
      <c r="M63" s="74"/>
      <c r="N63" s="49"/>
      <c r="O63" s="205"/>
      <c r="P63" s="73"/>
      <c r="Q63" s="74"/>
      <c r="R63" s="35">
        <v>1.3086081E8</v>
      </c>
    </row>
    <row r="64" ht="15.75" customHeight="1">
      <c r="A64" s="88" t="s">
        <v>140</v>
      </c>
      <c r="B64" s="206">
        <f>+I50</f>
        <v>-414.56</v>
      </c>
      <c r="C64" s="11"/>
      <c r="D64" s="196"/>
      <c r="I64" s="207" t="s">
        <v>141</v>
      </c>
      <c r="J64" s="208" t="s">
        <v>142</v>
      </c>
      <c r="K64" s="209" t="s">
        <v>143</v>
      </c>
      <c r="L64" s="11" t="s">
        <v>144</v>
      </c>
      <c r="M64" s="11"/>
      <c r="N64" s="49"/>
      <c r="O64" s="210"/>
      <c r="Q64" s="211"/>
      <c r="R64" s="42">
        <f>+R63-O57</f>
        <v>130860810</v>
      </c>
    </row>
    <row r="65" ht="15.75" customHeight="1">
      <c r="A65" s="88" t="s">
        <v>145</v>
      </c>
      <c r="B65" s="212" t="str">
        <f>+O56</f>
        <v/>
      </c>
      <c r="C65" s="11"/>
      <c r="D65" s="190" t="str">
        <f>+O57</f>
        <v/>
      </c>
      <c r="I65" s="207" t="s">
        <v>146</v>
      </c>
      <c r="J65" s="213">
        <v>0.0</v>
      </c>
      <c r="K65" s="209"/>
      <c r="L65" s="214" t="s">
        <v>147</v>
      </c>
      <c r="M65" s="215">
        <v>0.0</v>
      </c>
      <c r="N65" s="216">
        <v>2863.04</v>
      </c>
      <c r="O65" s="217"/>
      <c r="P65" s="63"/>
      <c r="Q65" s="98"/>
    </row>
    <row r="66" ht="15.75" customHeight="1">
      <c r="A66" s="88" t="s">
        <v>148</v>
      </c>
      <c r="B66" s="58" t="str">
        <f>+O46</f>
        <v/>
      </c>
      <c r="C66" s="11"/>
      <c r="D66" s="190" t="str">
        <f>+O47</f>
        <v/>
      </c>
      <c r="I66" s="207" t="s">
        <v>149</v>
      </c>
      <c r="J66" s="213">
        <v>0.0</v>
      </c>
      <c r="K66" s="218">
        <f t="shared" ref="K66:K67" si="26">J66*50</f>
        <v>0</v>
      </c>
      <c r="L66" s="214" t="s">
        <v>150</v>
      </c>
      <c r="M66" s="215">
        <v>0.0</v>
      </c>
      <c r="N66" s="216">
        <v>2795.74</v>
      </c>
      <c r="O66" s="217"/>
      <c r="P66" s="219"/>
      <c r="Q66" s="98"/>
    </row>
    <row r="67" ht="15.75" customHeight="1">
      <c r="A67" s="49"/>
      <c r="B67" s="178"/>
      <c r="C67" s="49"/>
      <c r="D67" s="178"/>
      <c r="I67" s="207" t="s">
        <v>151</v>
      </c>
      <c r="J67" s="213">
        <v>0.0</v>
      </c>
      <c r="K67" s="218">
        <f t="shared" si="26"/>
        <v>0</v>
      </c>
      <c r="L67" s="214" t="s">
        <v>152</v>
      </c>
      <c r="M67" s="215">
        <v>0.0</v>
      </c>
      <c r="N67" s="216">
        <v>2731.38</v>
      </c>
      <c r="O67" s="217"/>
      <c r="P67" s="42"/>
      <c r="Q67" s="98"/>
    </row>
    <row r="68" ht="15.75" customHeight="1">
      <c r="A68" s="205" t="s">
        <v>153</v>
      </c>
      <c r="B68" s="73"/>
      <c r="C68" s="73"/>
      <c r="D68" s="74"/>
      <c r="I68" s="207" t="s">
        <v>154</v>
      </c>
      <c r="J68" s="213">
        <v>0.0</v>
      </c>
      <c r="K68" s="218">
        <f>J68*100</f>
        <v>0</v>
      </c>
      <c r="L68" s="214" t="s">
        <v>155</v>
      </c>
      <c r="M68" s="215">
        <v>0.0</v>
      </c>
      <c r="N68" s="216">
        <v>2789.81</v>
      </c>
      <c r="O68" s="217"/>
      <c r="P68" s="213"/>
      <c r="Q68" s="220"/>
    </row>
    <row r="69" ht="15.75" customHeight="1">
      <c r="A69" s="109"/>
      <c r="B69" s="110"/>
      <c r="C69" s="110"/>
      <c r="D69" s="111"/>
      <c r="I69" s="207"/>
      <c r="J69" s="213">
        <v>0.0</v>
      </c>
      <c r="K69" s="218">
        <v>0.0</v>
      </c>
      <c r="L69" s="214" t="s">
        <v>156</v>
      </c>
      <c r="M69" s="215">
        <v>0.0</v>
      </c>
      <c r="N69" s="216">
        <v>2789.81</v>
      </c>
      <c r="O69" s="217"/>
      <c r="P69" s="213"/>
      <c r="Q69" s="220"/>
    </row>
    <row r="70" ht="15.75" customHeight="1">
      <c r="A70" s="221" t="s">
        <v>157</v>
      </c>
      <c r="B70" s="222" t="s">
        <v>81</v>
      </c>
      <c r="C70" s="222" t="s">
        <v>158</v>
      </c>
      <c r="D70" s="223" t="s">
        <v>82</v>
      </c>
      <c r="I70" s="207"/>
      <c r="J70" s="213">
        <v>0.0</v>
      </c>
      <c r="K70" s="218">
        <v>0.0</v>
      </c>
      <c r="L70" s="214" t="s">
        <v>159</v>
      </c>
      <c r="M70" s="215">
        <v>0.0</v>
      </c>
      <c r="N70" s="216">
        <v>2730.46</v>
      </c>
      <c r="O70" s="217"/>
      <c r="P70" s="213"/>
      <c r="Q70" s="220"/>
    </row>
    <row r="71" ht="15.75" customHeight="1">
      <c r="A71" s="207" t="s">
        <v>160</v>
      </c>
      <c r="B71" s="224">
        <v>0.0</v>
      </c>
      <c r="C71" s="222">
        <v>252000.0</v>
      </c>
      <c r="D71" s="223">
        <v>0.0</v>
      </c>
      <c r="I71" s="207"/>
      <c r="J71" s="213">
        <v>0.0</v>
      </c>
      <c r="K71" s="218">
        <v>0.0</v>
      </c>
      <c r="L71" s="214" t="s">
        <v>161</v>
      </c>
      <c r="M71" s="215">
        <v>0.0</v>
      </c>
      <c r="N71" s="216">
        <v>2822.52</v>
      </c>
      <c r="O71" s="217"/>
      <c r="P71" s="213"/>
      <c r="Q71" s="220"/>
    </row>
    <row r="72" ht="15.75" customHeight="1">
      <c r="A72" s="207" t="s">
        <v>93</v>
      </c>
      <c r="B72" s="225">
        <f>+G47</f>
        <v>414.56</v>
      </c>
      <c r="C72" s="222">
        <v>35721.51</v>
      </c>
      <c r="D72" s="223">
        <f>+G48</f>
        <v>414.56</v>
      </c>
      <c r="I72" s="207" t="s">
        <v>162</v>
      </c>
      <c r="J72" s="213">
        <v>0.0</v>
      </c>
      <c r="K72" s="218">
        <f>J72*100</f>
        <v>0</v>
      </c>
      <c r="L72" s="214" t="s">
        <v>163</v>
      </c>
      <c r="M72" s="215">
        <v>0.0</v>
      </c>
      <c r="N72" s="216">
        <v>2804.82</v>
      </c>
      <c r="O72" s="217"/>
      <c r="P72" s="213"/>
      <c r="Q72" s="220"/>
    </row>
    <row r="73" ht="15.75" customHeight="1">
      <c r="A73" s="207" t="s">
        <v>164</v>
      </c>
      <c r="B73" s="225">
        <f>+B71/B72</f>
        <v>0</v>
      </c>
      <c r="C73" s="222">
        <v>7.054573000973362</v>
      </c>
      <c r="D73" s="225">
        <f>+D71/D72</f>
        <v>0</v>
      </c>
      <c r="F73" s="226"/>
      <c r="G73" s="226"/>
      <c r="I73" s="207" t="s">
        <v>165</v>
      </c>
      <c r="J73" s="213">
        <v>0.0</v>
      </c>
      <c r="K73" s="218">
        <f>+J72*100</f>
        <v>0</v>
      </c>
      <c r="L73" s="214" t="s">
        <v>166</v>
      </c>
      <c r="M73" s="215">
        <f>I52</f>
        <v>0</v>
      </c>
      <c r="O73" s="227"/>
      <c r="P73" s="228"/>
      <c r="Q73" s="229"/>
    </row>
    <row r="74" ht="15.75" customHeight="1">
      <c r="A74" s="207" t="s">
        <v>167</v>
      </c>
      <c r="B74" s="225">
        <v>8.0</v>
      </c>
      <c r="C74" s="222">
        <v>8.5</v>
      </c>
      <c r="D74" s="222">
        <v>8.0</v>
      </c>
      <c r="F74" s="226"/>
      <c r="G74" s="226"/>
      <c r="I74" s="207" t="s">
        <v>168</v>
      </c>
      <c r="J74" s="213">
        <v>0.0</v>
      </c>
      <c r="K74" s="218">
        <f>J74*100</f>
        <v>0</v>
      </c>
      <c r="L74" s="29" t="s">
        <v>39</v>
      </c>
      <c r="M74" s="230">
        <f>SUM(M65:M73)</f>
        <v>0</v>
      </c>
      <c r="O74" s="208"/>
      <c r="P74" s="11"/>
      <c r="Q74" s="11"/>
    </row>
    <row r="75" ht="15.75" customHeight="1">
      <c r="A75" s="231" t="s">
        <v>169</v>
      </c>
      <c r="B75" s="232">
        <f>+B73*B74</f>
        <v>0</v>
      </c>
      <c r="C75" s="232">
        <v>59.96387050827358</v>
      </c>
      <c r="D75" s="232">
        <f>+D73*D74</f>
        <v>0</v>
      </c>
      <c r="E75" s="49"/>
      <c r="F75" s="233"/>
      <c r="G75" s="81"/>
      <c r="H75" s="226"/>
      <c r="I75" s="207" t="s">
        <v>170</v>
      </c>
      <c r="J75" s="213">
        <v>0.0</v>
      </c>
      <c r="K75" s="218">
        <f t="shared" ref="K75:K76" si="27">+J75*100</f>
        <v>0</v>
      </c>
      <c r="L75" s="234"/>
      <c r="M75" s="81"/>
      <c r="O75" s="208"/>
      <c r="P75" s="11"/>
      <c r="Q75" s="11"/>
    </row>
    <row r="76" ht="15.75" customHeight="1">
      <c r="A76" s="235"/>
      <c r="B76" s="236"/>
      <c r="C76" s="236"/>
      <c r="D76" s="236"/>
      <c r="E76" s="49"/>
      <c r="F76" s="237"/>
      <c r="G76" s="237"/>
      <c r="H76" s="226"/>
      <c r="I76" s="207" t="s">
        <v>171</v>
      </c>
      <c r="J76" s="213">
        <v>0.0</v>
      </c>
      <c r="K76" s="218">
        <f t="shared" si="27"/>
        <v>0</v>
      </c>
      <c r="L76" s="11"/>
      <c r="M76" s="11"/>
      <c r="O76" s="208"/>
      <c r="P76" s="11"/>
      <c r="Q76" s="11"/>
    </row>
    <row r="77" ht="15.75" customHeight="1">
      <c r="A77" s="235"/>
      <c r="B77" s="236"/>
      <c r="C77" s="236"/>
      <c r="D77" s="236"/>
      <c r="E77" s="49"/>
      <c r="F77" s="237"/>
      <c r="G77" s="237"/>
      <c r="H77" s="226"/>
      <c r="I77" s="231" t="s">
        <v>172</v>
      </c>
      <c r="J77" s="238">
        <v>0.0</v>
      </c>
      <c r="K77" s="239">
        <f>+J76*100</f>
        <v>0</v>
      </c>
      <c r="L77" s="11"/>
      <c r="M77" s="11"/>
      <c r="R77" s="240"/>
      <c r="S77" s="240"/>
      <c r="T77" s="240"/>
      <c r="U77" s="240"/>
      <c r="V77" s="240"/>
      <c r="W77" s="240"/>
      <c r="X77" s="240"/>
      <c r="Y77" s="240"/>
      <c r="Z77" s="240"/>
    </row>
    <row r="78" ht="15.75" customHeight="1">
      <c r="A78" s="241" t="s">
        <v>173</v>
      </c>
      <c r="B78" s="240"/>
      <c r="C78" s="240"/>
      <c r="D78" s="240"/>
      <c r="E78" s="240"/>
      <c r="F78" s="242"/>
      <c r="G78" s="243"/>
      <c r="H78" s="240"/>
      <c r="I78" s="244"/>
      <c r="J78" s="245"/>
      <c r="K78" s="246">
        <f>SUM(K66:K77)</f>
        <v>0</v>
      </c>
      <c r="L78" s="14"/>
      <c r="M78" s="11"/>
    </row>
    <row r="79" ht="15.75" customHeight="1">
      <c r="E79" s="49"/>
      <c r="F79" s="11"/>
      <c r="G79" s="11"/>
      <c r="H79" s="49">
        <v>6.0</v>
      </c>
      <c r="I79" s="11"/>
      <c r="J79" s="11"/>
      <c r="K79" s="243"/>
      <c r="L79" s="243"/>
      <c r="M79" s="243"/>
      <c r="N79" s="243"/>
      <c r="O79" s="243"/>
      <c r="P79" s="243"/>
      <c r="Q79" s="243"/>
    </row>
    <row r="80" ht="15.75" customHeight="1">
      <c r="A80" s="247" t="s">
        <v>173</v>
      </c>
      <c r="B80" s="67" t="s">
        <v>39</v>
      </c>
      <c r="C80" s="67"/>
      <c r="D80" s="67" t="s">
        <v>174</v>
      </c>
      <c r="E80" s="248" t="s">
        <v>175</v>
      </c>
      <c r="F80" s="11"/>
      <c r="G80" s="11"/>
      <c r="H80" s="49">
        <v>9.0</v>
      </c>
      <c r="I80" s="249"/>
      <c r="J80" s="249"/>
      <c r="K80" s="249"/>
      <c r="L80" s="249"/>
      <c r="M80" s="249"/>
      <c r="N80" s="249"/>
      <c r="O80" s="249"/>
      <c r="P80" s="249"/>
      <c r="Q80" s="249"/>
    </row>
    <row r="81" ht="15.75" customHeight="1">
      <c r="A81" s="75" t="s">
        <v>176</v>
      </c>
      <c r="B81" s="11"/>
      <c r="C81" s="11"/>
      <c r="D81" s="11">
        <v>0.0</v>
      </c>
      <c r="E81" s="18"/>
      <c r="F81" s="11"/>
      <c r="G81" s="11"/>
      <c r="I81" s="11"/>
      <c r="J81" s="11"/>
      <c r="K81" s="11"/>
      <c r="L81" s="11"/>
      <c r="M81" s="11"/>
      <c r="N81" s="11"/>
      <c r="O81" s="11"/>
      <c r="P81" s="11"/>
      <c r="Q81" s="11"/>
    </row>
    <row r="82" ht="15.75" customHeight="1">
      <c r="A82" s="75" t="s">
        <v>177</v>
      </c>
      <c r="B82" s="11"/>
      <c r="C82" s="11"/>
      <c r="D82" s="11">
        <v>6.0</v>
      </c>
      <c r="E82" s="18"/>
      <c r="F82" s="11"/>
      <c r="G82" s="11"/>
      <c r="I82" s="11"/>
      <c r="J82" s="11"/>
      <c r="K82" s="11"/>
      <c r="L82" s="11"/>
      <c r="M82" s="11"/>
      <c r="N82" s="11"/>
      <c r="O82" s="11"/>
      <c r="P82" s="11"/>
      <c r="Q82" s="11"/>
    </row>
    <row r="83" ht="15.75" customHeight="1">
      <c r="A83" s="75" t="s">
        <v>178</v>
      </c>
      <c r="B83" s="11"/>
      <c r="C83" s="11"/>
      <c r="D83" s="11">
        <v>19.0</v>
      </c>
      <c r="E83" s="18"/>
      <c r="F83" s="11"/>
      <c r="G83" s="11"/>
      <c r="I83" s="11"/>
      <c r="J83" s="11"/>
      <c r="K83" s="11"/>
      <c r="L83" s="11"/>
      <c r="M83" s="11"/>
      <c r="N83" s="11"/>
      <c r="O83" s="11"/>
      <c r="P83" s="11"/>
      <c r="Q83" s="11"/>
    </row>
    <row r="84" ht="15.75" customHeight="1">
      <c r="A84" s="75" t="s">
        <v>179</v>
      </c>
      <c r="B84" s="11"/>
      <c r="C84" s="11"/>
      <c r="D84" s="11">
        <v>4.0</v>
      </c>
      <c r="E84" s="18"/>
      <c r="F84" s="11"/>
      <c r="G84" s="11"/>
      <c r="I84" s="11"/>
      <c r="J84" s="11"/>
      <c r="K84" s="11"/>
      <c r="L84" s="11"/>
      <c r="M84" s="11"/>
      <c r="N84" s="11"/>
      <c r="O84" s="11"/>
      <c r="P84" s="11"/>
      <c r="Q84" s="11"/>
    </row>
    <row r="85" ht="15.75" customHeight="1">
      <c r="A85" s="75" t="s">
        <v>180</v>
      </c>
      <c r="B85" s="11"/>
      <c r="C85" s="11"/>
      <c r="D85" s="11">
        <v>20.0</v>
      </c>
      <c r="E85" s="18"/>
      <c r="I85" s="11"/>
      <c r="J85" s="11"/>
      <c r="K85" s="11"/>
      <c r="L85" s="11"/>
      <c r="M85" s="11"/>
      <c r="N85" s="11"/>
      <c r="O85" s="11"/>
      <c r="P85" s="11"/>
      <c r="Q85" s="11"/>
    </row>
    <row r="86" ht="15.75" customHeight="1">
      <c r="A86" s="75" t="s">
        <v>181</v>
      </c>
      <c r="B86" s="11"/>
      <c r="C86" s="11"/>
      <c r="D86" s="11">
        <v>10.0</v>
      </c>
      <c r="E86" s="18"/>
      <c r="I86" s="11"/>
      <c r="J86" s="11"/>
      <c r="K86" s="11"/>
      <c r="L86" s="11"/>
      <c r="M86" s="11"/>
      <c r="N86" s="11"/>
      <c r="O86" s="11"/>
      <c r="P86" s="11"/>
      <c r="Q86" s="11"/>
    </row>
    <row r="87" ht="15.75" customHeight="1">
      <c r="A87" s="75" t="s">
        <v>182</v>
      </c>
      <c r="B87" s="11"/>
      <c r="C87" s="11"/>
      <c r="D87" s="11">
        <v>11.0</v>
      </c>
      <c r="E87" s="124"/>
      <c r="I87" s="11"/>
      <c r="J87" s="11"/>
      <c r="K87" s="11"/>
      <c r="L87" s="11"/>
      <c r="M87" s="11"/>
      <c r="N87" s="11"/>
      <c r="O87" s="11"/>
      <c r="P87" s="11"/>
      <c r="Q87" s="11"/>
    </row>
    <row r="88" ht="15.75" customHeight="1">
      <c r="A88" s="75" t="s">
        <v>183</v>
      </c>
      <c r="B88" s="11"/>
      <c r="C88" s="11"/>
      <c r="D88" s="11"/>
      <c r="E88" s="124"/>
      <c r="I88" s="11"/>
      <c r="J88" s="11"/>
      <c r="K88" s="11"/>
      <c r="L88" s="11"/>
      <c r="M88" s="11"/>
      <c r="N88" s="11"/>
      <c r="O88" s="11"/>
      <c r="P88" s="11"/>
      <c r="Q88" s="11"/>
    </row>
    <row r="89" ht="15.75" customHeight="1">
      <c r="A89" s="51"/>
      <c r="B89" s="198"/>
      <c r="C89" s="198"/>
      <c r="D89" s="198"/>
      <c r="E89" s="162"/>
      <c r="I89" s="11"/>
      <c r="J89" s="11"/>
      <c r="K89" s="11"/>
      <c r="L89" s="11"/>
      <c r="M89" s="11"/>
      <c r="N89" s="11"/>
      <c r="O89" s="11"/>
      <c r="P89" s="11"/>
      <c r="Q89" s="11"/>
    </row>
    <row r="90" ht="15.75" customHeight="1">
      <c r="A90" s="49"/>
      <c r="B90" s="11" t="s">
        <v>184</v>
      </c>
      <c r="C90" s="11"/>
      <c r="D90" s="11" t="s">
        <v>185</v>
      </c>
      <c r="E90" s="11" t="s">
        <v>186</v>
      </c>
      <c r="I90" s="11"/>
      <c r="J90" s="11"/>
      <c r="K90" s="11"/>
      <c r="L90" s="11"/>
      <c r="M90" s="11"/>
      <c r="N90" s="11"/>
      <c r="O90" s="11"/>
      <c r="P90" s="11"/>
      <c r="Q90" s="11"/>
    </row>
    <row r="91" ht="15.75" customHeight="1">
      <c r="A91" s="250" t="s">
        <v>125</v>
      </c>
      <c r="B91" s="11">
        <f>+B59</f>
        <v>72</v>
      </c>
      <c r="C91" s="11"/>
      <c r="D91" s="11">
        <f>+E91*3</f>
        <v>7.2</v>
      </c>
      <c r="E91" s="11">
        <f>+B91/30</f>
        <v>2.4</v>
      </c>
      <c r="G91" s="35" t="s">
        <v>100</v>
      </c>
      <c r="I91" s="11"/>
      <c r="J91" s="11"/>
      <c r="K91" s="11"/>
      <c r="L91" s="11"/>
      <c r="M91" s="11"/>
      <c r="N91" s="11"/>
      <c r="O91" s="11"/>
      <c r="P91" s="11"/>
      <c r="Q91" s="11"/>
    </row>
    <row r="92" ht="15.75" customHeight="1">
      <c r="A92" s="251" t="s">
        <v>128</v>
      </c>
      <c r="B92" s="58">
        <f>+M46</f>
        <v>11721.29</v>
      </c>
      <c r="C92" s="11"/>
      <c r="D92" s="58">
        <f>+Q46</f>
        <v>0</v>
      </c>
      <c r="E92" s="58" t="str">
        <f>+O46</f>
        <v/>
      </c>
      <c r="I92" s="11"/>
      <c r="J92" s="11"/>
      <c r="K92" s="11"/>
      <c r="L92" s="11"/>
      <c r="M92" s="11"/>
      <c r="N92" s="11"/>
      <c r="O92" s="11"/>
      <c r="P92" s="11"/>
      <c r="Q92" s="11"/>
    </row>
    <row r="93" ht="15.75" customHeight="1">
      <c r="A93" s="251" t="s">
        <v>132</v>
      </c>
      <c r="B93" s="58">
        <f>+B32</f>
        <v>14.80571429</v>
      </c>
      <c r="C93" s="11"/>
      <c r="D93" s="11">
        <f>+E33</f>
        <v>444.1714286</v>
      </c>
      <c r="E93" s="11"/>
    </row>
    <row r="94" ht="15.75" customHeight="1">
      <c r="A94" s="251" t="s">
        <v>136</v>
      </c>
      <c r="B94" s="11">
        <f>+B62</f>
        <v>0</v>
      </c>
      <c r="C94" s="11"/>
      <c r="D94" s="11"/>
      <c r="E94" s="11"/>
    </row>
    <row r="95" ht="15.75" customHeight="1">
      <c r="A95" s="252" t="s">
        <v>138</v>
      </c>
      <c r="B95" s="11">
        <f>B63</f>
        <v>414.56</v>
      </c>
      <c r="C95" s="11"/>
      <c r="D95" s="11"/>
      <c r="E95" s="11"/>
    </row>
    <row r="96" ht="15.75" customHeight="1">
      <c r="A96" s="87" t="s">
        <v>140</v>
      </c>
      <c r="B96" s="206">
        <f>+B64</f>
        <v>-414.56</v>
      </c>
      <c r="C96" s="11"/>
      <c r="D96" s="11"/>
      <c r="E96" s="11"/>
    </row>
    <row r="97" ht="15.75" customHeight="1">
      <c r="A97" s="87" t="s">
        <v>145</v>
      </c>
      <c r="B97" s="212">
        <f>+P56</f>
        <v>0</v>
      </c>
      <c r="C97" s="11"/>
      <c r="D97" s="212">
        <f>+Q56</f>
        <v>0</v>
      </c>
      <c r="E97" s="11"/>
    </row>
    <row r="98" ht="15.75" customHeight="1">
      <c r="A98" s="87" t="s">
        <v>148</v>
      </c>
      <c r="B98" s="11" t="str">
        <f>+O78</f>
        <v/>
      </c>
      <c r="C98" s="11"/>
      <c r="D98" s="11"/>
      <c r="E98" s="11"/>
    </row>
    <row r="99" ht="15.75" customHeight="1"/>
    <row r="100" ht="15.75" customHeight="1"/>
    <row r="101" ht="15.75" customHeight="1">
      <c r="I101" s="253" t="s">
        <v>47</v>
      </c>
      <c r="J101" s="253" t="s">
        <v>187</v>
      </c>
      <c r="K101" s="253" t="s">
        <v>188</v>
      </c>
    </row>
    <row r="102" ht="15.75" customHeight="1">
      <c r="I102" s="253" t="s">
        <v>17</v>
      </c>
      <c r="J102" s="253">
        <v>510.0</v>
      </c>
      <c r="K102" s="253">
        <v>413610.0</v>
      </c>
    </row>
    <row r="103" ht="15.75" customHeight="1">
      <c r="I103" s="253" t="s">
        <v>23</v>
      </c>
      <c r="J103" s="253">
        <v>950.0</v>
      </c>
      <c r="K103" s="253">
        <v>1010660.0</v>
      </c>
    </row>
    <row r="104" ht="15.75" customHeight="1">
      <c r="I104" s="253" t="s">
        <v>13</v>
      </c>
      <c r="J104" s="253">
        <v>70.0</v>
      </c>
      <c r="K104" s="253">
        <v>68880.0</v>
      </c>
    </row>
    <row r="105" ht="15.75" customHeight="1">
      <c r="I105" s="253" t="s">
        <v>11</v>
      </c>
      <c r="J105" s="253">
        <v>430.0</v>
      </c>
      <c r="K105" s="253">
        <v>711950.0</v>
      </c>
    </row>
    <row r="106" ht="15.75" customHeight="1">
      <c r="I106" s="253" t="s">
        <v>27</v>
      </c>
      <c r="J106" s="253">
        <v>70.0</v>
      </c>
      <c r="K106" s="253">
        <v>73140.0</v>
      </c>
    </row>
    <row r="107" ht="15.75" customHeight="1">
      <c r="I107" s="253" t="s">
        <v>25</v>
      </c>
      <c r="J107" s="253">
        <v>50.0</v>
      </c>
      <c r="K107" s="253">
        <v>71100.0</v>
      </c>
    </row>
    <row r="108" ht="15.75" customHeight="1">
      <c r="I108" s="253" t="s">
        <v>22</v>
      </c>
      <c r="J108" s="253">
        <v>220.0</v>
      </c>
      <c r="K108" s="253">
        <v>228360.0</v>
      </c>
    </row>
    <row r="109" ht="15.75" customHeight="1">
      <c r="I109" s="253" t="s">
        <v>19</v>
      </c>
      <c r="J109" s="253">
        <v>67.0</v>
      </c>
      <c r="K109" s="253">
        <v>116900.0</v>
      </c>
    </row>
    <row r="110" ht="15.75" customHeight="1">
      <c r="I110" s="253" t="s">
        <v>29</v>
      </c>
      <c r="J110" s="253">
        <v>117.0</v>
      </c>
      <c r="K110" s="253">
        <v>203680.0</v>
      </c>
    </row>
    <row r="111" ht="15.75" customHeight="1">
      <c r="I111" s="253" t="s">
        <v>189</v>
      </c>
      <c r="J111" s="253">
        <v>50.0</v>
      </c>
      <c r="K111" s="253">
        <v>79500.0</v>
      </c>
    </row>
    <row r="112" ht="15.75" customHeight="1">
      <c r="I112" s="253" t="s">
        <v>190</v>
      </c>
      <c r="J112" s="253">
        <v>2534.0</v>
      </c>
      <c r="K112" s="253">
        <v>2977780.0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7">
    <mergeCell ref="K45:L45"/>
    <mergeCell ref="K46:L46"/>
    <mergeCell ref="K47:L47"/>
    <mergeCell ref="K48:L48"/>
    <mergeCell ref="K49:L49"/>
    <mergeCell ref="F50:G50"/>
    <mergeCell ref="K52:L52"/>
    <mergeCell ref="K53:L53"/>
    <mergeCell ref="F54:J54"/>
    <mergeCell ref="K56:L56"/>
    <mergeCell ref="K57:L57"/>
    <mergeCell ref="A58:B58"/>
    <mergeCell ref="K58:L58"/>
    <mergeCell ref="K60:L60"/>
    <mergeCell ref="P26:Q26"/>
    <mergeCell ref="P27:Q27"/>
    <mergeCell ref="P28:Q28"/>
    <mergeCell ref="P29:Q29"/>
    <mergeCell ref="A1:P1"/>
    <mergeCell ref="A2:E2"/>
    <mergeCell ref="F2:I2"/>
    <mergeCell ref="L2:P2"/>
    <mergeCell ref="K24:P24"/>
    <mergeCell ref="K25:Q25"/>
    <mergeCell ref="E26:E32"/>
    <mergeCell ref="P32:Q32"/>
    <mergeCell ref="P30:Q30"/>
    <mergeCell ref="P31:Q31"/>
    <mergeCell ref="P33:Q33"/>
    <mergeCell ref="P34:Q34"/>
    <mergeCell ref="P35:Q35"/>
    <mergeCell ref="P36:Q36"/>
    <mergeCell ref="P37:Q37"/>
    <mergeCell ref="P38:Q38"/>
    <mergeCell ref="P39:Q39"/>
    <mergeCell ref="P40:Q40"/>
    <mergeCell ref="P41:Q41"/>
    <mergeCell ref="P42:Q42"/>
    <mergeCell ref="K43:Q44"/>
    <mergeCell ref="F45:G45"/>
    <mergeCell ref="K61:L61"/>
    <mergeCell ref="K62:L62"/>
    <mergeCell ref="L63:M63"/>
    <mergeCell ref="O63:Q64"/>
    <mergeCell ref="A68:D69"/>
    <mergeCell ref="F75:G75"/>
    <mergeCell ref="L75:M75"/>
  </mergeCells>
  <printOptions/>
  <pageMargins bottom="0.75" footer="0.0" header="0.0" left="0.7" right="0.7" top="0.75"/>
  <pageSetup orientation="portrait"/>
  <headerFooter>
    <oddHeader>&amp;CDT.03-02-2025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72.14"/>
    <col customWidth="1" min="3" max="26" width="8.71"/>
  </cols>
  <sheetData>
    <row r="3">
      <c r="B3" s="254" t="s">
        <v>191</v>
      </c>
    </row>
    <row r="4">
      <c r="B4" s="255" t="s">
        <v>192</v>
      </c>
    </row>
    <row r="5">
      <c r="B5" s="255" t="s">
        <v>193</v>
      </c>
    </row>
    <row r="6">
      <c r="B6" s="255" t="s">
        <v>194</v>
      </c>
    </row>
    <row r="7">
      <c r="B7" s="255" t="s">
        <v>195</v>
      </c>
    </row>
    <row r="9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4">
      <c r="B14" s="256" t="s">
        <v>196</v>
      </c>
    </row>
    <row r="15">
      <c r="B15" s="255" t="s">
        <v>197</v>
      </c>
    </row>
    <row r="16">
      <c r="B16" s="255" t="s">
        <v>198</v>
      </c>
    </row>
    <row r="17">
      <c r="B17" s="255" t="s">
        <v>199</v>
      </c>
    </row>
    <row r="18">
      <c r="B18" s="255" t="s">
        <v>200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71"/>
    <col customWidth="1" min="2" max="2" width="10.71"/>
    <col customWidth="1" min="3" max="4" width="11.57"/>
    <col customWidth="1" hidden="1" min="5" max="5" width="9.86"/>
    <col customWidth="1" hidden="1" min="6" max="6" width="7.71"/>
    <col customWidth="1" hidden="1" min="7" max="7" width="6.29"/>
    <col customWidth="1" min="8" max="8" width="7.57"/>
    <col customWidth="1" min="9" max="9" width="35.14"/>
    <col customWidth="1" min="10" max="10" width="8.71"/>
    <col customWidth="1" hidden="1" min="11" max="11" width="9.14"/>
    <col customWidth="1" hidden="1" min="12" max="12" width="10.57"/>
    <col customWidth="1" hidden="1" min="13" max="13" width="9.57"/>
    <col customWidth="1" min="14" max="26" width="8.71"/>
  </cols>
  <sheetData>
    <row r="1">
      <c r="B1" s="49"/>
      <c r="D1" s="49"/>
    </row>
    <row r="2">
      <c r="A2" s="257" t="s">
        <v>201</v>
      </c>
      <c r="E2" s="258"/>
      <c r="F2" s="258"/>
      <c r="G2" s="258"/>
      <c r="H2" s="258"/>
      <c r="I2" s="258"/>
      <c r="J2" s="258"/>
    </row>
    <row r="3">
      <c r="B3" s="49"/>
      <c r="D3" s="49"/>
      <c r="I3" s="49"/>
      <c r="J3" s="49"/>
      <c r="K3" s="49"/>
      <c r="L3" s="49"/>
      <c r="M3" s="49"/>
    </row>
    <row r="4">
      <c r="A4" s="259" t="s">
        <v>1</v>
      </c>
      <c r="B4" s="260" t="s">
        <v>202</v>
      </c>
      <c r="C4" s="260" t="s">
        <v>203</v>
      </c>
      <c r="D4" s="260" t="s">
        <v>204</v>
      </c>
      <c r="E4" s="259"/>
      <c r="F4" s="259"/>
      <c r="G4" s="259"/>
      <c r="I4" s="261" t="s">
        <v>205</v>
      </c>
      <c r="J4" s="262"/>
      <c r="K4" s="262"/>
      <c r="L4" s="262"/>
      <c r="M4" s="81"/>
    </row>
    <row r="5">
      <c r="A5" s="36" t="s">
        <v>4</v>
      </c>
      <c r="B5" s="24" t="s">
        <v>5</v>
      </c>
      <c r="C5" s="24" t="s">
        <v>5</v>
      </c>
      <c r="D5" s="24" t="s">
        <v>5</v>
      </c>
      <c r="E5" s="29"/>
      <c r="F5" s="29" t="s">
        <v>6</v>
      </c>
      <c r="G5" s="24" t="s">
        <v>7</v>
      </c>
      <c r="I5" s="36" t="s">
        <v>4</v>
      </c>
      <c r="J5" s="24" t="s">
        <v>5</v>
      </c>
      <c r="K5" s="29"/>
      <c r="L5" s="29" t="s">
        <v>6</v>
      </c>
      <c r="M5" s="36" t="s">
        <v>8</v>
      </c>
    </row>
    <row r="6">
      <c r="A6" s="36" t="s">
        <v>10</v>
      </c>
      <c r="B6" s="24">
        <v>623.0</v>
      </c>
      <c r="C6" s="29">
        <v>673.0</v>
      </c>
      <c r="D6" s="29">
        <f t="shared" ref="D6:D23" si="1">B6-C6</f>
        <v>-50</v>
      </c>
      <c r="E6" s="29">
        <v>50.0</v>
      </c>
      <c r="F6" s="30">
        <f t="shared" ref="F6:F7" si="2">+C6*E6/100</f>
        <v>336.5</v>
      </c>
      <c r="G6" s="263" t="str">
        <f t="shared" ref="G6:G21" si="3">(F6*100)/$E$22</f>
        <v>#DIV/0!</v>
      </c>
      <c r="I6" s="36" t="s">
        <v>10</v>
      </c>
      <c r="J6" s="11">
        <v>673.0</v>
      </c>
      <c r="K6" s="29">
        <v>50.0</v>
      </c>
      <c r="L6" s="30">
        <f t="shared" ref="L6:L20" si="4">+J6*K6/100</f>
        <v>336.5</v>
      </c>
      <c r="M6" s="264" t="str">
        <f t="shared" ref="M6:M21" si="5">+L6/$P$22*100</f>
        <v>#DIV/0!</v>
      </c>
    </row>
    <row r="7">
      <c r="A7" s="36" t="s">
        <v>12</v>
      </c>
      <c r="B7" s="24">
        <v>0.0</v>
      </c>
      <c r="C7" s="29">
        <v>150.0</v>
      </c>
      <c r="D7" s="29">
        <f t="shared" si="1"/>
        <v>-150</v>
      </c>
      <c r="E7" s="29">
        <v>30.0</v>
      </c>
      <c r="F7" s="30">
        <f t="shared" si="2"/>
        <v>45</v>
      </c>
      <c r="G7" s="263" t="str">
        <f t="shared" si="3"/>
        <v>#DIV/0!</v>
      </c>
      <c r="I7" s="34" t="s">
        <v>13</v>
      </c>
      <c r="J7" s="11">
        <v>150.0</v>
      </c>
      <c r="K7" s="29">
        <v>30.0</v>
      </c>
      <c r="L7" s="30">
        <f t="shared" si="4"/>
        <v>45</v>
      </c>
      <c r="M7" s="264" t="str">
        <f t="shared" si="5"/>
        <v>#DIV/0!</v>
      </c>
    </row>
    <row r="8">
      <c r="A8" s="34" t="s">
        <v>14</v>
      </c>
      <c r="B8" s="24">
        <v>309.0</v>
      </c>
      <c r="C8" s="29">
        <v>920.0</v>
      </c>
      <c r="D8" s="29">
        <f t="shared" si="1"/>
        <v>-611</v>
      </c>
      <c r="E8" s="29"/>
      <c r="F8" s="30">
        <f>+C8*0.5</f>
        <v>460</v>
      </c>
      <c r="G8" s="263" t="str">
        <f t="shared" si="3"/>
        <v>#DIV/0!</v>
      </c>
      <c r="I8" s="34" t="s">
        <v>14</v>
      </c>
      <c r="J8" s="11">
        <v>920.0</v>
      </c>
      <c r="K8" s="29">
        <v>50.0</v>
      </c>
      <c r="L8" s="30">
        <f t="shared" si="4"/>
        <v>460</v>
      </c>
      <c r="M8" s="264" t="str">
        <f t="shared" si="5"/>
        <v>#DIV/0!</v>
      </c>
    </row>
    <row r="9">
      <c r="A9" s="36" t="s">
        <v>16</v>
      </c>
      <c r="B9" s="24">
        <v>89.0</v>
      </c>
      <c r="C9" s="29">
        <v>0.0</v>
      </c>
      <c r="D9" s="29">
        <f t="shared" si="1"/>
        <v>89</v>
      </c>
      <c r="E9" s="29">
        <v>50.0</v>
      </c>
      <c r="F9" s="30">
        <f t="shared" ref="F9:F21" si="6">+C9*E9/100</f>
        <v>0</v>
      </c>
      <c r="G9" s="263" t="str">
        <f t="shared" si="3"/>
        <v>#DIV/0!</v>
      </c>
      <c r="I9" s="34" t="s">
        <v>16</v>
      </c>
      <c r="J9" s="11">
        <v>0.0</v>
      </c>
      <c r="K9" s="29">
        <v>50.0</v>
      </c>
      <c r="L9" s="30">
        <f t="shared" si="4"/>
        <v>0</v>
      </c>
      <c r="M9" s="264" t="str">
        <f t="shared" si="5"/>
        <v>#DIV/0!</v>
      </c>
    </row>
    <row r="10">
      <c r="A10" s="36" t="s">
        <v>18</v>
      </c>
      <c r="B10" s="24">
        <v>14.0</v>
      </c>
      <c r="C10" s="29">
        <v>210.0</v>
      </c>
      <c r="D10" s="29">
        <f t="shared" si="1"/>
        <v>-196</v>
      </c>
      <c r="E10" s="29">
        <v>50.0</v>
      </c>
      <c r="F10" s="30">
        <f t="shared" si="6"/>
        <v>105</v>
      </c>
      <c r="G10" s="263" t="str">
        <f t="shared" si="3"/>
        <v>#DIV/0!</v>
      </c>
      <c r="I10" s="34" t="s">
        <v>19</v>
      </c>
      <c r="J10" s="11">
        <v>210.0</v>
      </c>
      <c r="K10" s="29">
        <v>50.0</v>
      </c>
      <c r="L10" s="30">
        <f t="shared" si="4"/>
        <v>105</v>
      </c>
      <c r="M10" s="264" t="str">
        <f t="shared" si="5"/>
        <v>#DIV/0!</v>
      </c>
    </row>
    <row r="11">
      <c r="A11" s="36" t="s">
        <v>21</v>
      </c>
      <c r="B11" s="24">
        <v>140.0</v>
      </c>
      <c r="C11" s="29">
        <v>270.0</v>
      </c>
      <c r="D11" s="29">
        <f t="shared" si="1"/>
        <v>-130</v>
      </c>
      <c r="E11" s="29">
        <v>30.0</v>
      </c>
      <c r="F11" s="30">
        <f t="shared" si="6"/>
        <v>81</v>
      </c>
      <c r="G11" s="263" t="str">
        <f t="shared" si="3"/>
        <v>#DIV/0!</v>
      </c>
      <c r="I11" s="34" t="s">
        <v>22</v>
      </c>
      <c r="J11" s="11">
        <v>270.0</v>
      </c>
      <c r="K11" s="29">
        <v>30.0</v>
      </c>
      <c r="L11" s="30">
        <f t="shared" si="4"/>
        <v>81</v>
      </c>
      <c r="M11" s="264" t="str">
        <f t="shared" si="5"/>
        <v>#DIV/0!</v>
      </c>
    </row>
    <row r="12">
      <c r="A12" s="36" t="s">
        <v>24</v>
      </c>
      <c r="B12" s="24">
        <v>292.0</v>
      </c>
      <c r="C12" s="29">
        <v>20.0</v>
      </c>
      <c r="D12" s="29">
        <f t="shared" si="1"/>
        <v>272</v>
      </c>
      <c r="E12" s="29">
        <v>50.0</v>
      </c>
      <c r="F12" s="30">
        <f t="shared" si="6"/>
        <v>10</v>
      </c>
      <c r="G12" s="263" t="str">
        <f t="shared" si="3"/>
        <v>#DIV/0!</v>
      </c>
      <c r="I12" s="34" t="s">
        <v>25</v>
      </c>
      <c r="J12" s="11">
        <v>20.0</v>
      </c>
      <c r="K12" s="29">
        <v>50.0</v>
      </c>
      <c r="L12" s="30">
        <f t="shared" si="4"/>
        <v>10</v>
      </c>
      <c r="M12" s="264" t="str">
        <f t="shared" si="5"/>
        <v>#DIV/0!</v>
      </c>
    </row>
    <row r="13">
      <c r="A13" s="36" t="s">
        <v>26</v>
      </c>
      <c r="B13" s="24">
        <v>111.0</v>
      </c>
      <c r="C13" s="29">
        <v>0.0</v>
      </c>
      <c r="D13" s="29">
        <f t="shared" si="1"/>
        <v>111</v>
      </c>
      <c r="E13" s="29">
        <v>30.0</v>
      </c>
      <c r="F13" s="30">
        <f t="shared" si="6"/>
        <v>0</v>
      </c>
      <c r="G13" s="263" t="str">
        <f t="shared" si="3"/>
        <v>#DIV/0!</v>
      </c>
      <c r="I13" s="34" t="s">
        <v>27</v>
      </c>
      <c r="J13" s="11">
        <v>0.0</v>
      </c>
      <c r="K13" s="29">
        <v>30.0</v>
      </c>
      <c r="L13" s="30">
        <f t="shared" si="4"/>
        <v>0</v>
      </c>
      <c r="M13" s="264" t="str">
        <f t="shared" si="5"/>
        <v>#DIV/0!</v>
      </c>
    </row>
    <row r="14">
      <c r="A14" s="34" t="s">
        <v>29</v>
      </c>
      <c r="B14" s="24">
        <v>1.0</v>
      </c>
      <c r="C14" s="29">
        <v>0.0</v>
      </c>
      <c r="D14" s="29">
        <f t="shared" si="1"/>
        <v>1</v>
      </c>
      <c r="E14" s="29">
        <v>50.0</v>
      </c>
      <c r="F14" s="30">
        <f t="shared" si="6"/>
        <v>0</v>
      </c>
      <c r="G14" s="263" t="str">
        <f t="shared" si="3"/>
        <v>#DIV/0!</v>
      </c>
      <c r="I14" s="34" t="s">
        <v>29</v>
      </c>
      <c r="J14" s="11">
        <v>0.0</v>
      </c>
      <c r="K14" s="29">
        <v>50.0</v>
      </c>
      <c r="L14" s="30">
        <f t="shared" si="4"/>
        <v>0</v>
      </c>
      <c r="M14" s="264" t="str">
        <f t="shared" si="5"/>
        <v>#DIV/0!</v>
      </c>
    </row>
    <row r="15">
      <c r="A15" s="36" t="s">
        <v>31</v>
      </c>
      <c r="B15" s="24">
        <v>0.0</v>
      </c>
      <c r="C15" s="29"/>
      <c r="D15" s="29">
        <f t="shared" si="1"/>
        <v>0</v>
      </c>
      <c r="E15" s="29">
        <v>50.0</v>
      </c>
      <c r="F15" s="30">
        <f t="shared" si="6"/>
        <v>0</v>
      </c>
      <c r="G15" s="263" t="str">
        <f t="shared" si="3"/>
        <v>#DIV/0!</v>
      </c>
      <c r="I15" s="34" t="s">
        <v>31</v>
      </c>
      <c r="J15" s="11"/>
      <c r="K15" s="29">
        <v>50.0</v>
      </c>
      <c r="L15" s="30">
        <f t="shared" si="4"/>
        <v>0</v>
      </c>
      <c r="M15" s="264" t="str">
        <f t="shared" si="5"/>
        <v>#DIV/0!</v>
      </c>
    </row>
    <row r="16">
      <c r="A16" s="36" t="s">
        <v>32</v>
      </c>
      <c r="B16" s="24">
        <v>0.0</v>
      </c>
      <c r="C16" s="29"/>
      <c r="D16" s="29">
        <f t="shared" si="1"/>
        <v>0</v>
      </c>
      <c r="E16" s="29">
        <v>30.0</v>
      </c>
      <c r="F16" s="30">
        <f t="shared" si="6"/>
        <v>0</v>
      </c>
      <c r="G16" s="263" t="str">
        <f t="shared" si="3"/>
        <v>#DIV/0!</v>
      </c>
      <c r="I16" s="34" t="s">
        <v>32</v>
      </c>
      <c r="J16" s="11"/>
      <c r="K16" s="29">
        <v>30.0</v>
      </c>
      <c r="L16" s="30">
        <f t="shared" si="4"/>
        <v>0</v>
      </c>
      <c r="M16" s="264" t="str">
        <f t="shared" si="5"/>
        <v>#DIV/0!</v>
      </c>
    </row>
    <row r="17">
      <c r="A17" s="36" t="s">
        <v>33</v>
      </c>
      <c r="B17" s="24">
        <v>0.0</v>
      </c>
      <c r="C17" s="29"/>
      <c r="D17" s="29">
        <f t="shared" si="1"/>
        <v>0</v>
      </c>
      <c r="E17" s="29">
        <v>40.0</v>
      </c>
      <c r="F17" s="30">
        <f t="shared" si="6"/>
        <v>0</v>
      </c>
      <c r="G17" s="263" t="str">
        <f t="shared" si="3"/>
        <v>#DIV/0!</v>
      </c>
      <c r="I17" s="36" t="s">
        <v>33</v>
      </c>
      <c r="J17" s="11"/>
      <c r="K17" s="29">
        <v>5.0</v>
      </c>
      <c r="L17" s="30">
        <f t="shared" si="4"/>
        <v>0</v>
      </c>
      <c r="M17" s="264" t="str">
        <f t="shared" si="5"/>
        <v>#DIV/0!</v>
      </c>
    </row>
    <row r="18">
      <c r="A18" s="36" t="s">
        <v>34</v>
      </c>
      <c r="B18" s="24">
        <v>229.0</v>
      </c>
      <c r="C18" s="29">
        <v>200.0</v>
      </c>
      <c r="D18" s="29">
        <f t="shared" si="1"/>
        <v>29</v>
      </c>
      <c r="E18" s="265">
        <v>39.0</v>
      </c>
      <c r="F18" s="30">
        <f t="shared" si="6"/>
        <v>78</v>
      </c>
      <c r="G18" s="263" t="str">
        <f t="shared" si="3"/>
        <v>#DIV/0!</v>
      </c>
      <c r="I18" s="36" t="s">
        <v>34</v>
      </c>
      <c r="J18" s="11">
        <v>200.0</v>
      </c>
      <c r="K18" s="29">
        <v>39.0</v>
      </c>
      <c r="L18" s="30">
        <f t="shared" si="4"/>
        <v>78</v>
      </c>
      <c r="M18" s="264" t="str">
        <f t="shared" si="5"/>
        <v>#DIV/0!</v>
      </c>
    </row>
    <row r="19">
      <c r="A19" s="34" t="s">
        <v>17</v>
      </c>
      <c r="B19" s="24">
        <v>2167.0</v>
      </c>
      <c r="C19" s="29">
        <v>0.0</v>
      </c>
      <c r="D19" s="29">
        <f t="shared" si="1"/>
        <v>2167</v>
      </c>
      <c r="E19" s="29">
        <v>49.0</v>
      </c>
      <c r="F19" s="30">
        <f t="shared" si="6"/>
        <v>0</v>
      </c>
      <c r="G19" s="263" t="str">
        <f t="shared" si="3"/>
        <v>#DIV/0!</v>
      </c>
      <c r="I19" s="34" t="s">
        <v>17</v>
      </c>
      <c r="J19" s="11">
        <v>0.0</v>
      </c>
      <c r="K19" s="29">
        <v>49.0</v>
      </c>
      <c r="L19" s="30">
        <f t="shared" si="4"/>
        <v>0</v>
      </c>
      <c r="M19" s="264" t="str">
        <f t="shared" si="5"/>
        <v>#DIV/0!</v>
      </c>
    </row>
    <row r="20">
      <c r="A20" s="36" t="s">
        <v>36</v>
      </c>
      <c r="B20" s="24">
        <v>1215.0</v>
      </c>
      <c r="C20" s="29">
        <v>0.0</v>
      </c>
      <c r="D20" s="29">
        <f t="shared" si="1"/>
        <v>1215</v>
      </c>
      <c r="E20" s="29">
        <v>49.0</v>
      </c>
      <c r="F20" s="30">
        <f t="shared" si="6"/>
        <v>0</v>
      </c>
      <c r="G20" s="263" t="str">
        <f t="shared" si="3"/>
        <v>#DIV/0!</v>
      </c>
      <c r="I20" s="34" t="s">
        <v>23</v>
      </c>
      <c r="J20" s="11">
        <v>0.0</v>
      </c>
      <c r="K20" s="29">
        <v>49.0</v>
      </c>
      <c r="L20" s="30">
        <f t="shared" si="4"/>
        <v>0</v>
      </c>
      <c r="M20" s="264" t="str">
        <f t="shared" si="5"/>
        <v>#DIV/0!</v>
      </c>
    </row>
    <row r="21" ht="15.75" customHeight="1">
      <c r="A21" s="36" t="s">
        <v>206</v>
      </c>
      <c r="B21" s="24">
        <v>0.0</v>
      </c>
      <c r="C21" s="29">
        <v>0.0</v>
      </c>
      <c r="D21" s="29">
        <f t="shared" si="1"/>
        <v>0</v>
      </c>
      <c r="E21" s="29">
        <v>49.0</v>
      </c>
      <c r="F21" s="30">
        <f t="shared" si="6"/>
        <v>0</v>
      </c>
      <c r="G21" s="263" t="str">
        <f t="shared" si="3"/>
        <v>#DIV/0!</v>
      </c>
      <c r="I21" s="36" t="s">
        <v>206</v>
      </c>
      <c r="J21" s="11">
        <v>0.0</v>
      </c>
      <c r="K21" s="29">
        <v>40.0</v>
      </c>
      <c r="L21" s="29">
        <f>+J21*0.4</f>
        <v>0</v>
      </c>
      <c r="M21" s="264" t="str">
        <f t="shared" si="5"/>
        <v>#DIV/0!</v>
      </c>
    </row>
    <row r="22" ht="15.75" customHeight="1">
      <c r="A22" s="36"/>
      <c r="B22" s="24"/>
      <c r="C22" s="29">
        <v>0.0</v>
      </c>
      <c r="D22" s="29">
        <f t="shared" si="1"/>
        <v>0</v>
      </c>
      <c r="E22" s="29"/>
      <c r="F22" s="30"/>
      <c r="G22" s="263"/>
      <c r="I22" s="11"/>
      <c r="J22" s="11">
        <v>0.0</v>
      </c>
      <c r="K22" s="29"/>
      <c r="L22" s="29"/>
      <c r="M22" s="264"/>
    </row>
    <row r="23" ht="15.75" customHeight="1">
      <c r="A23" s="36"/>
      <c r="B23" s="24"/>
      <c r="C23" s="29">
        <v>0.0</v>
      </c>
      <c r="D23" s="29">
        <f t="shared" si="1"/>
        <v>0</v>
      </c>
      <c r="E23" s="29"/>
      <c r="F23" s="30"/>
      <c r="G23" s="263"/>
      <c r="I23" s="36"/>
      <c r="J23" s="11">
        <v>0.0</v>
      </c>
      <c r="K23" s="29"/>
      <c r="L23" s="29"/>
      <c r="M23" s="264"/>
    </row>
    <row r="24" ht="15.75" customHeight="1">
      <c r="A24" s="11" t="s">
        <v>39</v>
      </c>
      <c r="B24" s="24">
        <f t="shared" ref="B24:C24" si="7">SUM(B6:B21)</f>
        <v>5190</v>
      </c>
      <c r="C24" s="24">
        <f t="shared" si="7"/>
        <v>2443</v>
      </c>
      <c r="D24" s="24"/>
      <c r="E24" s="24"/>
      <c r="F24" s="30">
        <f t="shared" ref="F24:G24" si="8">SUM(F6:F21)</f>
        <v>1115.5</v>
      </c>
      <c r="G24" s="30" t="str">
        <f t="shared" si="8"/>
        <v>#DIV/0!</v>
      </c>
      <c r="I24" s="11" t="s">
        <v>39</v>
      </c>
      <c r="J24" s="24">
        <f>SUM(J6:J21)</f>
        <v>2443</v>
      </c>
      <c r="K24" s="24"/>
      <c r="L24" s="24">
        <f t="shared" ref="L24:M24" si="9">SUM(L6:L21)</f>
        <v>1115.5</v>
      </c>
      <c r="M24" s="266" t="str">
        <f t="shared" si="9"/>
        <v>#DIV/0!</v>
      </c>
    </row>
    <row r="25" ht="15.75" customHeight="1">
      <c r="B25" s="49"/>
      <c r="D25" s="49"/>
    </row>
    <row r="26" ht="15.75" customHeight="1">
      <c r="B26" s="49"/>
      <c r="D26" s="49"/>
    </row>
    <row r="27" ht="15.75" customHeight="1">
      <c r="B27" s="49"/>
      <c r="D27" s="49"/>
    </row>
    <row r="28" ht="15.75" customHeight="1">
      <c r="B28" s="49"/>
      <c r="D28" s="49"/>
    </row>
    <row r="29" ht="15.75" customHeight="1">
      <c r="B29" s="49"/>
      <c r="D29" s="49"/>
    </row>
    <row r="30" ht="15.75" customHeight="1">
      <c r="B30" s="49"/>
      <c r="D30" s="49"/>
    </row>
    <row r="31" ht="15.75" customHeight="1">
      <c r="B31" s="49"/>
      <c r="D31" s="49"/>
    </row>
    <row r="32" ht="15.75" customHeight="1">
      <c r="B32" s="49"/>
      <c r="D32" s="49"/>
    </row>
    <row r="33" ht="15.75" customHeight="1">
      <c r="B33" s="49"/>
      <c r="D33" s="49"/>
    </row>
    <row r="34" ht="15.75" customHeight="1">
      <c r="B34" s="49"/>
      <c r="D34" s="49"/>
    </row>
    <row r="35" ht="15.75" customHeight="1">
      <c r="B35" s="49"/>
      <c r="D35" s="49"/>
    </row>
    <row r="36" ht="15.75" customHeight="1">
      <c r="B36" s="49"/>
      <c r="D36" s="49"/>
    </row>
    <row r="37" ht="15.75" customHeight="1">
      <c r="B37" s="49"/>
      <c r="D37" s="49"/>
    </row>
    <row r="38" ht="15.75" customHeight="1">
      <c r="B38" s="49"/>
      <c r="D38" s="49"/>
    </row>
    <row r="39" ht="15.75" customHeight="1">
      <c r="B39" s="49"/>
      <c r="D39" s="49"/>
    </row>
    <row r="40" ht="15.75" customHeight="1">
      <c r="B40" s="49"/>
      <c r="D40" s="49"/>
    </row>
    <row r="41" ht="15.75" customHeight="1">
      <c r="B41" s="49"/>
      <c r="D41" s="49"/>
    </row>
    <row r="42" ht="15.75" customHeight="1">
      <c r="B42" s="49"/>
      <c r="D42" s="49"/>
    </row>
    <row r="43" ht="15.75" customHeight="1">
      <c r="B43" s="49"/>
      <c r="D43" s="49"/>
    </row>
    <row r="44" ht="15.75" customHeight="1">
      <c r="B44" s="49"/>
      <c r="D44" s="49"/>
    </row>
    <row r="45" ht="15.75" customHeight="1">
      <c r="B45" s="49"/>
      <c r="D45" s="49"/>
    </row>
    <row r="46" ht="15.75" customHeight="1">
      <c r="B46" s="49"/>
      <c r="D46" s="49"/>
    </row>
    <row r="47" ht="15.75" customHeight="1">
      <c r="B47" s="49"/>
      <c r="D47" s="49"/>
    </row>
    <row r="48" ht="15.75" customHeight="1">
      <c r="B48" s="49"/>
      <c r="D48" s="49"/>
    </row>
    <row r="49" ht="15.75" customHeight="1">
      <c r="B49" s="49"/>
      <c r="D49" s="49"/>
    </row>
    <row r="50" ht="15.75" customHeight="1">
      <c r="B50" s="49"/>
      <c r="D50" s="49"/>
    </row>
    <row r="51" ht="15.75" customHeight="1">
      <c r="B51" s="49"/>
      <c r="D51" s="49"/>
    </row>
    <row r="52" ht="15.75" customHeight="1">
      <c r="B52" s="49"/>
      <c r="D52" s="49"/>
    </row>
    <row r="53" ht="15.75" customHeight="1">
      <c r="B53" s="49"/>
      <c r="D53" s="49"/>
    </row>
    <row r="54" ht="15.75" customHeight="1">
      <c r="B54" s="49"/>
      <c r="D54" s="49"/>
    </row>
    <row r="55" ht="15.75" customHeight="1">
      <c r="B55" s="49"/>
      <c r="D55" s="49"/>
    </row>
    <row r="56" ht="15.75" customHeight="1">
      <c r="B56" s="49"/>
      <c r="D56" s="49"/>
    </row>
    <row r="57" ht="15.75" customHeight="1">
      <c r="B57" s="49"/>
      <c r="D57" s="49"/>
    </row>
    <row r="58" ht="15.75" customHeight="1">
      <c r="B58" s="49"/>
      <c r="D58" s="49"/>
    </row>
    <row r="59" ht="15.75" customHeight="1">
      <c r="B59" s="49"/>
      <c r="D59" s="49"/>
    </row>
    <row r="60" ht="15.75" customHeight="1">
      <c r="B60" s="49"/>
      <c r="D60" s="49"/>
    </row>
    <row r="61" ht="15.75" customHeight="1">
      <c r="B61" s="49"/>
      <c r="D61" s="49"/>
    </row>
    <row r="62" ht="15.75" customHeight="1">
      <c r="B62" s="49"/>
      <c r="D62" s="49"/>
    </row>
    <row r="63" ht="15.75" customHeight="1">
      <c r="B63" s="49"/>
      <c r="D63" s="49"/>
    </row>
    <row r="64" ht="15.75" customHeight="1">
      <c r="B64" s="49"/>
      <c r="D64" s="49"/>
    </row>
    <row r="65" ht="15.75" customHeight="1">
      <c r="B65" s="49"/>
      <c r="D65" s="49"/>
    </row>
    <row r="66" ht="15.75" customHeight="1">
      <c r="B66" s="49"/>
      <c r="D66" s="49"/>
    </row>
    <row r="67" ht="15.75" customHeight="1">
      <c r="B67" s="49"/>
      <c r="D67" s="49"/>
    </row>
    <row r="68" ht="15.75" customHeight="1">
      <c r="B68" s="49"/>
      <c r="D68" s="49"/>
    </row>
    <row r="69" ht="15.75" customHeight="1">
      <c r="B69" s="49"/>
      <c r="D69" s="49"/>
    </row>
    <row r="70" ht="15.75" customHeight="1">
      <c r="B70" s="49"/>
      <c r="D70" s="49"/>
    </row>
    <row r="71" ht="15.75" customHeight="1">
      <c r="B71" s="49"/>
      <c r="D71" s="49"/>
    </row>
    <row r="72" ht="15.75" customHeight="1">
      <c r="B72" s="49"/>
      <c r="D72" s="49"/>
    </row>
    <row r="73" ht="15.75" customHeight="1">
      <c r="B73" s="49"/>
      <c r="D73" s="49"/>
    </row>
    <row r="74" ht="15.75" customHeight="1">
      <c r="B74" s="49"/>
      <c r="D74" s="49"/>
    </row>
    <row r="75" ht="15.75" customHeight="1">
      <c r="B75" s="49"/>
      <c r="D75" s="49"/>
    </row>
    <row r="76" ht="15.75" customHeight="1">
      <c r="B76" s="49"/>
      <c r="D76" s="49"/>
    </row>
    <row r="77" ht="15.75" customHeight="1">
      <c r="B77" s="49"/>
      <c r="D77" s="49"/>
    </row>
    <row r="78" ht="15.75" customHeight="1">
      <c r="B78" s="49"/>
      <c r="D78" s="49"/>
    </row>
    <row r="79" ht="15.75" customHeight="1">
      <c r="B79" s="49"/>
      <c r="D79" s="49"/>
    </row>
    <row r="80" ht="15.75" customHeight="1">
      <c r="B80" s="49"/>
      <c r="D80" s="49"/>
    </row>
    <row r="81" ht="15.75" customHeight="1">
      <c r="B81" s="49"/>
      <c r="D81" s="49"/>
    </row>
    <row r="82" ht="15.75" customHeight="1">
      <c r="B82" s="49"/>
      <c r="D82" s="49"/>
    </row>
    <row r="83" ht="15.75" customHeight="1">
      <c r="B83" s="49"/>
      <c r="D83" s="49"/>
    </row>
    <row r="84" ht="15.75" customHeight="1">
      <c r="B84" s="49"/>
      <c r="D84" s="49"/>
    </row>
    <row r="85" ht="15.75" customHeight="1">
      <c r="B85" s="49"/>
      <c r="D85" s="49"/>
    </row>
    <row r="86" ht="15.75" customHeight="1">
      <c r="B86" s="49"/>
      <c r="D86" s="49"/>
    </row>
    <row r="87" ht="15.75" customHeight="1">
      <c r="B87" s="49"/>
      <c r="D87" s="49"/>
    </row>
    <row r="88" ht="15.75" customHeight="1">
      <c r="B88" s="49"/>
      <c r="D88" s="49"/>
    </row>
    <row r="89" ht="15.75" customHeight="1">
      <c r="B89" s="49"/>
      <c r="D89" s="49"/>
    </row>
    <row r="90" ht="15.75" customHeight="1">
      <c r="B90" s="49"/>
      <c r="D90" s="49"/>
    </row>
    <row r="91" ht="15.75" customHeight="1">
      <c r="B91" s="49"/>
      <c r="D91" s="49"/>
    </row>
    <row r="92" ht="15.75" customHeight="1">
      <c r="B92" s="49"/>
      <c r="D92" s="49"/>
    </row>
    <row r="93" ht="15.75" customHeight="1">
      <c r="B93" s="49"/>
      <c r="D93" s="49"/>
    </row>
    <row r="94" ht="15.75" customHeight="1">
      <c r="B94" s="49"/>
      <c r="D94" s="49"/>
    </row>
    <row r="95" ht="15.75" customHeight="1">
      <c r="B95" s="49"/>
      <c r="D95" s="49"/>
    </row>
    <row r="96" ht="15.75" customHeight="1">
      <c r="B96" s="49"/>
      <c r="D96" s="49"/>
    </row>
    <row r="97" ht="15.75" customHeight="1">
      <c r="B97" s="49"/>
      <c r="D97" s="49"/>
    </row>
    <row r="98" ht="15.75" customHeight="1">
      <c r="B98" s="49"/>
      <c r="D98" s="49"/>
    </row>
    <row r="99" ht="15.75" customHeight="1">
      <c r="B99" s="49"/>
      <c r="D99" s="49"/>
    </row>
    <row r="100" ht="15.75" customHeight="1">
      <c r="B100" s="49"/>
      <c r="D100" s="49"/>
    </row>
    <row r="101" ht="15.75" customHeight="1">
      <c r="B101" s="49"/>
      <c r="D101" s="49"/>
    </row>
    <row r="102" ht="15.75" customHeight="1">
      <c r="B102" s="49"/>
      <c r="D102" s="49"/>
    </row>
    <row r="103" ht="15.75" customHeight="1">
      <c r="B103" s="49"/>
      <c r="D103" s="49"/>
    </row>
    <row r="104" ht="15.75" customHeight="1">
      <c r="B104" s="49"/>
      <c r="D104" s="49"/>
    </row>
    <row r="105" ht="15.75" customHeight="1">
      <c r="B105" s="49"/>
      <c r="D105" s="49"/>
    </row>
    <row r="106" ht="15.75" customHeight="1">
      <c r="B106" s="49"/>
      <c r="D106" s="49"/>
    </row>
    <row r="107" ht="15.75" customHeight="1">
      <c r="B107" s="49"/>
      <c r="D107" s="49"/>
    </row>
    <row r="108" ht="15.75" customHeight="1">
      <c r="B108" s="49"/>
      <c r="D108" s="49"/>
    </row>
    <row r="109" ht="15.75" customHeight="1">
      <c r="B109" s="49"/>
      <c r="D109" s="49"/>
    </row>
    <row r="110" ht="15.75" customHeight="1">
      <c r="B110" s="49"/>
      <c r="D110" s="49"/>
    </row>
    <row r="111" ht="15.75" customHeight="1">
      <c r="B111" s="49"/>
      <c r="D111" s="49"/>
    </row>
    <row r="112" ht="15.75" customHeight="1">
      <c r="B112" s="49"/>
      <c r="D112" s="49"/>
    </row>
    <row r="113" ht="15.75" customHeight="1">
      <c r="B113" s="49"/>
      <c r="D113" s="49"/>
    </row>
    <row r="114" ht="15.75" customHeight="1">
      <c r="B114" s="49"/>
      <c r="D114" s="49"/>
    </row>
    <row r="115" ht="15.75" customHeight="1">
      <c r="B115" s="49"/>
      <c r="D115" s="49"/>
    </row>
    <row r="116" ht="15.75" customHeight="1">
      <c r="B116" s="49"/>
      <c r="D116" s="49"/>
    </row>
    <row r="117" ht="15.75" customHeight="1">
      <c r="B117" s="49"/>
      <c r="D117" s="49"/>
    </row>
    <row r="118" ht="15.75" customHeight="1">
      <c r="B118" s="49"/>
      <c r="D118" s="49"/>
    </row>
    <row r="119" ht="15.75" customHeight="1">
      <c r="B119" s="49"/>
      <c r="D119" s="49"/>
    </row>
    <row r="120" ht="15.75" customHeight="1">
      <c r="B120" s="49"/>
      <c r="D120" s="49"/>
    </row>
    <row r="121" ht="15.75" customHeight="1">
      <c r="B121" s="49"/>
      <c r="D121" s="49"/>
    </row>
    <row r="122" ht="15.75" customHeight="1">
      <c r="B122" s="49"/>
      <c r="D122" s="49"/>
    </row>
    <row r="123" ht="15.75" customHeight="1">
      <c r="B123" s="49"/>
      <c r="D123" s="49"/>
    </row>
    <row r="124" ht="15.75" customHeight="1">
      <c r="B124" s="49"/>
      <c r="D124" s="49"/>
    </row>
    <row r="125" ht="15.75" customHeight="1">
      <c r="B125" s="49"/>
      <c r="D125" s="49"/>
    </row>
    <row r="126" ht="15.75" customHeight="1">
      <c r="B126" s="49"/>
      <c r="D126" s="49"/>
    </row>
    <row r="127" ht="15.75" customHeight="1">
      <c r="B127" s="49"/>
      <c r="D127" s="49"/>
    </row>
    <row r="128" ht="15.75" customHeight="1">
      <c r="B128" s="49"/>
      <c r="D128" s="49"/>
    </row>
    <row r="129" ht="15.75" customHeight="1">
      <c r="B129" s="49"/>
      <c r="D129" s="49"/>
    </row>
    <row r="130" ht="15.75" customHeight="1">
      <c r="B130" s="49"/>
      <c r="D130" s="49"/>
    </row>
    <row r="131" ht="15.75" customHeight="1">
      <c r="B131" s="49"/>
      <c r="D131" s="49"/>
    </row>
    <row r="132" ht="15.75" customHeight="1">
      <c r="B132" s="49"/>
      <c r="D132" s="49"/>
    </row>
    <row r="133" ht="15.75" customHeight="1">
      <c r="B133" s="49"/>
      <c r="D133" s="49"/>
    </row>
    <row r="134" ht="15.75" customHeight="1">
      <c r="B134" s="49"/>
      <c r="D134" s="49"/>
    </row>
    <row r="135" ht="15.75" customHeight="1">
      <c r="B135" s="49"/>
      <c r="D135" s="49"/>
    </row>
    <row r="136" ht="15.75" customHeight="1">
      <c r="B136" s="49"/>
      <c r="D136" s="49"/>
    </row>
    <row r="137" ht="15.75" customHeight="1">
      <c r="B137" s="49"/>
      <c r="D137" s="49"/>
    </row>
    <row r="138" ht="15.75" customHeight="1">
      <c r="B138" s="49"/>
      <c r="D138" s="49"/>
    </row>
    <row r="139" ht="15.75" customHeight="1">
      <c r="B139" s="49"/>
      <c r="D139" s="49"/>
    </row>
    <row r="140" ht="15.75" customHeight="1">
      <c r="B140" s="49"/>
      <c r="D140" s="49"/>
    </row>
    <row r="141" ht="15.75" customHeight="1">
      <c r="B141" s="49"/>
      <c r="D141" s="49"/>
    </row>
    <row r="142" ht="15.75" customHeight="1">
      <c r="B142" s="49"/>
      <c r="D142" s="49"/>
    </row>
    <row r="143" ht="15.75" customHeight="1">
      <c r="B143" s="49"/>
      <c r="D143" s="49"/>
    </row>
    <row r="144" ht="15.75" customHeight="1">
      <c r="B144" s="49"/>
      <c r="D144" s="49"/>
    </row>
    <row r="145" ht="15.75" customHeight="1">
      <c r="B145" s="49"/>
      <c r="D145" s="49"/>
    </row>
    <row r="146" ht="15.75" customHeight="1">
      <c r="B146" s="49"/>
      <c r="D146" s="49"/>
    </row>
    <row r="147" ht="15.75" customHeight="1">
      <c r="B147" s="49"/>
      <c r="D147" s="49"/>
    </row>
    <row r="148" ht="15.75" customHeight="1">
      <c r="B148" s="49"/>
      <c r="D148" s="49"/>
    </row>
    <row r="149" ht="15.75" customHeight="1">
      <c r="B149" s="49"/>
      <c r="D149" s="49"/>
    </row>
    <row r="150" ht="15.75" customHeight="1">
      <c r="B150" s="49"/>
      <c r="D150" s="49"/>
    </row>
    <row r="151" ht="15.75" customHeight="1">
      <c r="B151" s="49"/>
      <c r="D151" s="49"/>
    </row>
    <row r="152" ht="15.75" customHeight="1">
      <c r="B152" s="49"/>
      <c r="D152" s="49"/>
    </row>
    <row r="153" ht="15.75" customHeight="1">
      <c r="B153" s="49"/>
      <c r="D153" s="49"/>
    </row>
    <row r="154" ht="15.75" customHeight="1">
      <c r="B154" s="49"/>
      <c r="D154" s="49"/>
    </row>
    <row r="155" ht="15.75" customHeight="1">
      <c r="B155" s="49"/>
      <c r="D155" s="49"/>
    </row>
    <row r="156" ht="15.75" customHeight="1">
      <c r="B156" s="49"/>
      <c r="D156" s="49"/>
    </row>
    <row r="157" ht="15.75" customHeight="1">
      <c r="B157" s="49"/>
      <c r="D157" s="49"/>
    </row>
    <row r="158" ht="15.75" customHeight="1">
      <c r="B158" s="49"/>
      <c r="D158" s="49"/>
    </row>
    <row r="159" ht="15.75" customHeight="1">
      <c r="B159" s="49"/>
      <c r="D159" s="49"/>
    </row>
    <row r="160" ht="15.75" customHeight="1">
      <c r="B160" s="49"/>
      <c r="D160" s="49"/>
    </row>
    <row r="161" ht="15.75" customHeight="1">
      <c r="B161" s="49"/>
      <c r="D161" s="49"/>
    </row>
    <row r="162" ht="15.75" customHeight="1">
      <c r="B162" s="49"/>
      <c r="D162" s="49"/>
    </row>
    <row r="163" ht="15.75" customHeight="1">
      <c r="B163" s="49"/>
      <c r="D163" s="49"/>
    </row>
    <row r="164" ht="15.75" customHeight="1">
      <c r="B164" s="49"/>
      <c r="D164" s="49"/>
    </row>
    <row r="165" ht="15.75" customHeight="1">
      <c r="B165" s="49"/>
      <c r="D165" s="49"/>
    </row>
    <row r="166" ht="15.75" customHeight="1">
      <c r="B166" s="49"/>
      <c r="D166" s="49"/>
    </row>
    <row r="167" ht="15.75" customHeight="1">
      <c r="B167" s="49"/>
      <c r="D167" s="49"/>
    </row>
    <row r="168" ht="15.75" customHeight="1">
      <c r="B168" s="49"/>
      <c r="D168" s="49"/>
    </row>
    <row r="169" ht="15.75" customHeight="1">
      <c r="B169" s="49"/>
      <c r="D169" s="49"/>
    </row>
    <row r="170" ht="15.75" customHeight="1">
      <c r="B170" s="49"/>
      <c r="D170" s="49"/>
    </row>
    <row r="171" ht="15.75" customHeight="1">
      <c r="B171" s="49"/>
      <c r="D171" s="49"/>
    </row>
    <row r="172" ht="15.75" customHeight="1">
      <c r="B172" s="49"/>
      <c r="D172" s="49"/>
    </row>
    <row r="173" ht="15.75" customHeight="1">
      <c r="B173" s="49"/>
      <c r="D173" s="49"/>
    </row>
    <row r="174" ht="15.75" customHeight="1">
      <c r="B174" s="49"/>
      <c r="D174" s="49"/>
    </row>
    <row r="175" ht="15.75" customHeight="1">
      <c r="B175" s="49"/>
      <c r="D175" s="49"/>
    </row>
    <row r="176" ht="15.75" customHeight="1">
      <c r="B176" s="49"/>
      <c r="D176" s="49"/>
    </row>
    <row r="177" ht="15.75" customHeight="1">
      <c r="B177" s="49"/>
      <c r="D177" s="49"/>
    </row>
    <row r="178" ht="15.75" customHeight="1">
      <c r="B178" s="49"/>
      <c r="D178" s="49"/>
    </row>
    <row r="179" ht="15.75" customHeight="1">
      <c r="B179" s="49"/>
      <c r="D179" s="49"/>
    </row>
    <row r="180" ht="15.75" customHeight="1">
      <c r="B180" s="49"/>
      <c r="D180" s="49"/>
    </row>
    <row r="181" ht="15.75" customHeight="1">
      <c r="B181" s="49"/>
      <c r="D181" s="49"/>
    </row>
    <row r="182" ht="15.75" customHeight="1">
      <c r="B182" s="49"/>
      <c r="D182" s="49"/>
    </row>
    <row r="183" ht="15.75" customHeight="1">
      <c r="B183" s="49"/>
      <c r="D183" s="49"/>
    </row>
    <row r="184" ht="15.75" customHeight="1">
      <c r="B184" s="49"/>
      <c r="D184" s="49"/>
    </row>
    <row r="185" ht="15.75" customHeight="1">
      <c r="B185" s="49"/>
      <c r="D185" s="49"/>
    </row>
    <row r="186" ht="15.75" customHeight="1">
      <c r="B186" s="49"/>
      <c r="D186" s="49"/>
    </row>
    <row r="187" ht="15.75" customHeight="1">
      <c r="B187" s="49"/>
      <c r="D187" s="49"/>
    </row>
    <row r="188" ht="15.75" customHeight="1">
      <c r="B188" s="49"/>
      <c r="D188" s="49"/>
    </row>
    <row r="189" ht="15.75" customHeight="1">
      <c r="B189" s="49"/>
      <c r="D189" s="49"/>
    </row>
    <row r="190" ht="15.75" customHeight="1">
      <c r="B190" s="49"/>
      <c r="D190" s="49"/>
    </row>
    <row r="191" ht="15.75" customHeight="1">
      <c r="B191" s="49"/>
      <c r="D191" s="49"/>
    </row>
    <row r="192" ht="15.75" customHeight="1">
      <c r="B192" s="49"/>
      <c r="D192" s="49"/>
    </row>
    <row r="193" ht="15.75" customHeight="1">
      <c r="B193" s="49"/>
      <c r="D193" s="49"/>
    </row>
    <row r="194" ht="15.75" customHeight="1">
      <c r="B194" s="49"/>
      <c r="D194" s="49"/>
    </row>
    <row r="195" ht="15.75" customHeight="1">
      <c r="B195" s="49"/>
      <c r="D195" s="49"/>
    </row>
    <row r="196" ht="15.75" customHeight="1">
      <c r="B196" s="49"/>
      <c r="D196" s="49"/>
    </row>
    <row r="197" ht="15.75" customHeight="1">
      <c r="B197" s="49"/>
      <c r="D197" s="49"/>
    </row>
    <row r="198" ht="15.75" customHeight="1">
      <c r="B198" s="49"/>
      <c r="D198" s="49"/>
    </row>
    <row r="199" ht="15.75" customHeight="1">
      <c r="B199" s="49"/>
      <c r="D199" s="49"/>
    </row>
    <row r="200" ht="15.75" customHeight="1">
      <c r="B200" s="49"/>
      <c r="D200" s="49"/>
    </row>
    <row r="201" ht="15.75" customHeight="1">
      <c r="B201" s="49"/>
      <c r="D201" s="49"/>
    </row>
    <row r="202" ht="15.75" customHeight="1">
      <c r="B202" s="49"/>
      <c r="D202" s="49"/>
    </row>
    <row r="203" ht="15.75" customHeight="1">
      <c r="B203" s="49"/>
      <c r="D203" s="49"/>
    </row>
    <row r="204" ht="15.75" customHeight="1">
      <c r="B204" s="49"/>
      <c r="D204" s="49"/>
    </row>
    <row r="205" ht="15.75" customHeight="1">
      <c r="B205" s="49"/>
      <c r="D205" s="49"/>
    </row>
    <row r="206" ht="15.75" customHeight="1">
      <c r="B206" s="49"/>
      <c r="D206" s="49"/>
    </row>
    <row r="207" ht="15.75" customHeight="1">
      <c r="B207" s="49"/>
      <c r="D207" s="49"/>
    </row>
    <row r="208" ht="15.75" customHeight="1">
      <c r="B208" s="49"/>
      <c r="D208" s="49"/>
    </row>
    <row r="209" ht="15.75" customHeight="1">
      <c r="B209" s="49"/>
      <c r="D209" s="49"/>
    </row>
    <row r="210" ht="15.75" customHeight="1">
      <c r="B210" s="49"/>
      <c r="D210" s="49"/>
    </row>
    <row r="211" ht="15.75" customHeight="1">
      <c r="B211" s="49"/>
      <c r="D211" s="49"/>
    </row>
    <row r="212" ht="15.75" customHeight="1">
      <c r="B212" s="49"/>
      <c r="D212" s="49"/>
    </row>
    <row r="213" ht="15.75" customHeight="1">
      <c r="B213" s="49"/>
      <c r="D213" s="49"/>
    </row>
    <row r="214" ht="15.75" customHeight="1">
      <c r="B214" s="49"/>
      <c r="D214" s="49"/>
    </row>
    <row r="215" ht="15.75" customHeight="1">
      <c r="B215" s="49"/>
      <c r="D215" s="49"/>
    </row>
    <row r="216" ht="15.75" customHeight="1">
      <c r="B216" s="49"/>
      <c r="D216" s="49"/>
    </row>
    <row r="217" ht="15.75" customHeight="1">
      <c r="B217" s="49"/>
      <c r="D217" s="49"/>
    </row>
    <row r="218" ht="15.75" customHeight="1">
      <c r="B218" s="49"/>
      <c r="D218" s="49"/>
    </row>
    <row r="219" ht="15.75" customHeight="1">
      <c r="B219" s="49"/>
      <c r="D219" s="49"/>
    </row>
    <row r="220" ht="15.75" customHeight="1">
      <c r="B220" s="49"/>
      <c r="D220" s="49"/>
    </row>
    <row r="221" ht="15.75" customHeight="1">
      <c r="B221" s="49"/>
      <c r="D221" s="49"/>
    </row>
    <row r="222" ht="15.75" customHeight="1">
      <c r="B222" s="49"/>
      <c r="D222" s="49"/>
    </row>
    <row r="223" ht="15.75" customHeight="1">
      <c r="B223" s="49"/>
      <c r="D223" s="49"/>
    </row>
    <row r="224" ht="15.75" customHeight="1">
      <c r="B224" s="49"/>
      <c r="D224" s="49"/>
    </row>
    <row r="225" ht="15.75" customHeight="1">
      <c r="B225" s="49"/>
      <c r="D225" s="49"/>
    </row>
    <row r="226" ht="15.75" customHeight="1">
      <c r="B226" s="49"/>
      <c r="D226" s="49"/>
    </row>
    <row r="227" ht="15.75" customHeight="1">
      <c r="B227" s="49"/>
      <c r="D227" s="49"/>
    </row>
    <row r="228" ht="15.75" customHeight="1">
      <c r="B228" s="49"/>
      <c r="D228" s="49"/>
    </row>
    <row r="229" ht="15.75" customHeight="1">
      <c r="B229" s="49"/>
      <c r="D229" s="49"/>
    </row>
    <row r="230" ht="15.75" customHeight="1">
      <c r="B230" s="49"/>
      <c r="D230" s="49"/>
    </row>
    <row r="231" ht="15.75" customHeight="1">
      <c r="B231" s="49"/>
      <c r="D231" s="49"/>
    </row>
    <row r="232" ht="15.75" customHeight="1">
      <c r="B232" s="49"/>
      <c r="D232" s="49"/>
    </row>
    <row r="233" ht="15.75" customHeight="1">
      <c r="B233" s="49"/>
      <c r="D233" s="49"/>
    </row>
    <row r="234" ht="15.75" customHeight="1">
      <c r="B234" s="49"/>
      <c r="D234" s="49"/>
    </row>
    <row r="235" ht="15.75" customHeight="1">
      <c r="B235" s="49"/>
      <c r="D235" s="49"/>
    </row>
    <row r="236" ht="15.75" customHeight="1">
      <c r="B236" s="49"/>
      <c r="D236" s="49"/>
    </row>
    <row r="237" ht="15.75" customHeight="1">
      <c r="B237" s="49"/>
      <c r="D237" s="49"/>
    </row>
    <row r="238" ht="15.75" customHeight="1">
      <c r="B238" s="49"/>
      <c r="D238" s="49"/>
    </row>
    <row r="239" ht="15.75" customHeight="1">
      <c r="B239" s="49"/>
      <c r="D239" s="49"/>
    </row>
    <row r="240" ht="15.75" customHeight="1">
      <c r="B240" s="49"/>
      <c r="D240" s="49"/>
    </row>
    <row r="241" ht="15.75" customHeight="1">
      <c r="B241" s="49"/>
      <c r="D241" s="49"/>
    </row>
    <row r="242" ht="15.75" customHeight="1">
      <c r="B242" s="49"/>
      <c r="D242" s="49"/>
    </row>
    <row r="243" ht="15.75" customHeight="1">
      <c r="B243" s="49"/>
      <c r="D243" s="49"/>
    </row>
    <row r="244" ht="15.75" customHeight="1">
      <c r="B244" s="49"/>
      <c r="D244" s="49"/>
    </row>
    <row r="245" ht="15.75" customHeight="1">
      <c r="B245" s="49"/>
      <c r="D245" s="49"/>
    </row>
    <row r="246" ht="15.75" customHeight="1">
      <c r="B246" s="49"/>
      <c r="D246" s="49"/>
    </row>
    <row r="247" ht="15.75" customHeight="1">
      <c r="B247" s="49"/>
      <c r="D247" s="49"/>
    </row>
    <row r="248" ht="15.75" customHeight="1">
      <c r="B248" s="49"/>
      <c r="D248" s="49"/>
    </row>
    <row r="249" ht="15.75" customHeight="1">
      <c r="B249" s="49"/>
      <c r="D249" s="49"/>
    </row>
    <row r="250" ht="15.75" customHeight="1">
      <c r="B250" s="49"/>
      <c r="D250" s="49"/>
    </row>
    <row r="251" ht="15.75" customHeight="1">
      <c r="B251" s="49"/>
      <c r="D251" s="49"/>
    </row>
    <row r="252" ht="15.75" customHeight="1">
      <c r="B252" s="49"/>
      <c r="D252" s="49"/>
    </row>
    <row r="253" ht="15.75" customHeight="1">
      <c r="B253" s="49"/>
      <c r="D253" s="49"/>
    </row>
    <row r="254" ht="15.75" customHeight="1">
      <c r="B254" s="49"/>
      <c r="D254" s="49"/>
    </row>
    <row r="255" ht="15.75" customHeight="1">
      <c r="B255" s="49"/>
      <c r="D255" s="49"/>
    </row>
    <row r="256" ht="15.75" customHeight="1">
      <c r="B256" s="49"/>
      <c r="D256" s="49"/>
    </row>
    <row r="257" ht="15.75" customHeight="1">
      <c r="B257" s="49"/>
      <c r="D257" s="49"/>
    </row>
    <row r="258" ht="15.75" customHeight="1">
      <c r="B258" s="49"/>
      <c r="D258" s="49"/>
    </row>
    <row r="259" ht="15.75" customHeight="1">
      <c r="B259" s="49"/>
      <c r="D259" s="49"/>
    </row>
    <row r="260" ht="15.75" customHeight="1">
      <c r="B260" s="49"/>
      <c r="D260" s="49"/>
    </row>
    <row r="261" ht="15.75" customHeight="1">
      <c r="B261" s="49"/>
      <c r="D261" s="49"/>
    </row>
    <row r="262" ht="15.75" customHeight="1">
      <c r="B262" s="49"/>
      <c r="D262" s="49"/>
    </row>
    <row r="263" ht="15.75" customHeight="1">
      <c r="B263" s="49"/>
      <c r="D263" s="49"/>
    </row>
    <row r="264" ht="15.75" customHeight="1">
      <c r="B264" s="49"/>
      <c r="D264" s="49"/>
    </row>
    <row r="265" ht="15.75" customHeight="1">
      <c r="B265" s="49"/>
      <c r="D265" s="49"/>
    </row>
    <row r="266" ht="15.75" customHeight="1">
      <c r="B266" s="49"/>
      <c r="D266" s="49"/>
    </row>
    <row r="267" ht="15.75" customHeight="1">
      <c r="B267" s="49"/>
      <c r="D267" s="49"/>
    </row>
    <row r="268" ht="15.75" customHeight="1">
      <c r="B268" s="49"/>
      <c r="D268" s="49"/>
    </row>
    <row r="269" ht="15.75" customHeight="1">
      <c r="B269" s="49"/>
      <c r="D269" s="49"/>
    </row>
    <row r="270" ht="15.75" customHeight="1">
      <c r="B270" s="49"/>
      <c r="D270" s="49"/>
    </row>
    <row r="271" ht="15.75" customHeight="1">
      <c r="B271" s="49"/>
      <c r="D271" s="49"/>
    </row>
    <row r="272" ht="15.75" customHeight="1">
      <c r="B272" s="49"/>
      <c r="D272" s="49"/>
    </row>
    <row r="273" ht="15.75" customHeight="1">
      <c r="B273" s="49"/>
      <c r="D273" s="49"/>
    </row>
    <row r="274" ht="15.75" customHeight="1">
      <c r="B274" s="49"/>
      <c r="D274" s="49"/>
    </row>
    <row r="275" ht="15.75" customHeight="1">
      <c r="B275" s="49"/>
      <c r="D275" s="49"/>
    </row>
    <row r="276" ht="15.75" customHeight="1">
      <c r="B276" s="49"/>
      <c r="D276" s="49"/>
    </row>
    <row r="277" ht="15.75" customHeight="1">
      <c r="B277" s="49"/>
      <c r="D277" s="49"/>
    </row>
    <row r="278" ht="15.75" customHeight="1">
      <c r="B278" s="49"/>
      <c r="D278" s="49"/>
    </row>
    <row r="279" ht="15.75" customHeight="1">
      <c r="B279" s="49"/>
      <c r="D279" s="49"/>
    </row>
    <row r="280" ht="15.75" customHeight="1">
      <c r="B280" s="49"/>
      <c r="D280" s="49"/>
    </row>
    <row r="281" ht="15.75" customHeight="1">
      <c r="B281" s="49"/>
      <c r="D281" s="49"/>
    </row>
    <row r="282" ht="15.75" customHeight="1">
      <c r="B282" s="49"/>
      <c r="D282" s="49"/>
    </row>
    <row r="283" ht="15.75" customHeight="1">
      <c r="B283" s="49"/>
      <c r="D283" s="49"/>
    </row>
    <row r="284" ht="15.75" customHeight="1">
      <c r="B284" s="49"/>
      <c r="D284" s="49"/>
    </row>
    <row r="285" ht="15.75" customHeight="1">
      <c r="B285" s="49"/>
      <c r="D285" s="49"/>
    </row>
    <row r="286" ht="15.75" customHeight="1">
      <c r="B286" s="49"/>
      <c r="D286" s="49"/>
    </row>
    <row r="287" ht="15.75" customHeight="1">
      <c r="B287" s="49"/>
      <c r="D287" s="49"/>
    </row>
    <row r="288" ht="15.75" customHeight="1">
      <c r="B288" s="49"/>
      <c r="D288" s="49"/>
    </row>
    <row r="289" ht="15.75" customHeight="1">
      <c r="B289" s="49"/>
      <c r="D289" s="49"/>
    </row>
    <row r="290" ht="15.75" customHeight="1">
      <c r="B290" s="49"/>
      <c r="D290" s="49"/>
    </row>
    <row r="291" ht="15.75" customHeight="1">
      <c r="B291" s="49"/>
      <c r="D291" s="49"/>
    </row>
    <row r="292" ht="15.75" customHeight="1">
      <c r="B292" s="49"/>
      <c r="D292" s="49"/>
    </row>
    <row r="293" ht="15.75" customHeight="1">
      <c r="B293" s="49"/>
      <c r="D293" s="49"/>
    </row>
    <row r="294" ht="15.75" customHeight="1">
      <c r="B294" s="49"/>
      <c r="D294" s="49"/>
    </row>
    <row r="295" ht="15.75" customHeight="1">
      <c r="B295" s="49"/>
      <c r="D295" s="49"/>
    </row>
    <row r="296" ht="15.75" customHeight="1">
      <c r="B296" s="49"/>
      <c r="D296" s="49"/>
    </row>
    <row r="297" ht="15.75" customHeight="1">
      <c r="B297" s="49"/>
      <c r="D297" s="49"/>
    </row>
    <row r="298" ht="15.75" customHeight="1">
      <c r="B298" s="49"/>
      <c r="D298" s="49"/>
    </row>
    <row r="299" ht="15.75" customHeight="1">
      <c r="B299" s="49"/>
      <c r="D299" s="49"/>
    </row>
    <row r="300" ht="15.75" customHeight="1">
      <c r="B300" s="49"/>
      <c r="D300" s="49"/>
    </row>
    <row r="301" ht="15.75" customHeight="1">
      <c r="B301" s="49"/>
      <c r="D301" s="49"/>
    </row>
    <row r="302" ht="15.75" customHeight="1">
      <c r="B302" s="49"/>
      <c r="D302" s="49"/>
    </row>
    <row r="303" ht="15.75" customHeight="1">
      <c r="B303" s="49"/>
      <c r="D303" s="49"/>
    </row>
    <row r="304" ht="15.75" customHeight="1">
      <c r="B304" s="49"/>
      <c r="D304" s="49"/>
    </row>
    <row r="305" ht="15.75" customHeight="1">
      <c r="B305" s="49"/>
      <c r="D305" s="49"/>
    </row>
    <row r="306" ht="15.75" customHeight="1">
      <c r="B306" s="49"/>
      <c r="D306" s="49"/>
    </row>
    <row r="307" ht="15.75" customHeight="1">
      <c r="B307" s="49"/>
      <c r="D307" s="49"/>
    </row>
    <row r="308" ht="15.75" customHeight="1">
      <c r="B308" s="49"/>
      <c r="D308" s="49"/>
    </row>
    <row r="309" ht="15.75" customHeight="1">
      <c r="B309" s="49"/>
      <c r="D309" s="49"/>
    </row>
    <row r="310" ht="15.75" customHeight="1">
      <c r="B310" s="49"/>
      <c r="D310" s="49"/>
    </row>
    <row r="311" ht="15.75" customHeight="1">
      <c r="B311" s="49"/>
      <c r="D311" s="49"/>
    </row>
    <row r="312" ht="15.75" customHeight="1">
      <c r="B312" s="49"/>
      <c r="D312" s="49"/>
    </row>
    <row r="313" ht="15.75" customHeight="1">
      <c r="B313" s="49"/>
      <c r="D313" s="49"/>
    </row>
    <row r="314" ht="15.75" customHeight="1">
      <c r="B314" s="49"/>
      <c r="D314" s="49"/>
    </row>
    <row r="315" ht="15.75" customHeight="1">
      <c r="B315" s="49"/>
      <c r="D315" s="49"/>
    </row>
    <row r="316" ht="15.75" customHeight="1">
      <c r="B316" s="49"/>
      <c r="D316" s="49"/>
    </row>
    <row r="317" ht="15.75" customHeight="1">
      <c r="B317" s="49"/>
      <c r="D317" s="49"/>
    </row>
    <row r="318" ht="15.75" customHeight="1">
      <c r="B318" s="49"/>
      <c r="D318" s="49"/>
    </row>
    <row r="319" ht="15.75" customHeight="1">
      <c r="B319" s="49"/>
      <c r="D319" s="49"/>
    </row>
    <row r="320" ht="15.75" customHeight="1">
      <c r="B320" s="49"/>
      <c r="D320" s="49"/>
    </row>
    <row r="321" ht="15.75" customHeight="1">
      <c r="B321" s="49"/>
      <c r="D321" s="49"/>
    </row>
    <row r="322" ht="15.75" customHeight="1">
      <c r="B322" s="49"/>
      <c r="D322" s="49"/>
    </row>
    <row r="323" ht="15.75" customHeight="1">
      <c r="B323" s="49"/>
      <c r="D323" s="49"/>
    </row>
    <row r="324" ht="15.75" customHeight="1">
      <c r="B324" s="49"/>
      <c r="D324" s="49"/>
    </row>
    <row r="325" ht="15.75" customHeight="1">
      <c r="B325" s="49"/>
      <c r="D325" s="49"/>
    </row>
    <row r="326" ht="15.75" customHeight="1">
      <c r="B326" s="49"/>
      <c r="D326" s="49"/>
    </row>
    <row r="327" ht="15.75" customHeight="1">
      <c r="B327" s="49"/>
      <c r="D327" s="49"/>
    </row>
    <row r="328" ht="15.75" customHeight="1">
      <c r="B328" s="49"/>
      <c r="D328" s="49"/>
    </row>
    <row r="329" ht="15.75" customHeight="1">
      <c r="B329" s="49"/>
      <c r="D329" s="49"/>
    </row>
    <row r="330" ht="15.75" customHeight="1">
      <c r="B330" s="49"/>
      <c r="D330" s="49"/>
    </row>
    <row r="331" ht="15.75" customHeight="1">
      <c r="B331" s="49"/>
      <c r="D331" s="49"/>
    </row>
    <row r="332" ht="15.75" customHeight="1">
      <c r="B332" s="49"/>
      <c r="D332" s="49"/>
    </row>
    <row r="333" ht="15.75" customHeight="1">
      <c r="B333" s="49"/>
      <c r="D333" s="49"/>
    </row>
    <row r="334" ht="15.75" customHeight="1">
      <c r="B334" s="49"/>
      <c r="D334" s="49"/>
    </row>
    <row r="335" ht="15.75" customHeight="1">
      <c r="B335" s="49"/>
      <c r="D335" s="49"/>
    </row>
    <row r="336" ht="15.75" customHeight="1">
      <c r="B336" s="49"/>
      <c r="D336" s="49"/>
    </row>
    <row r="337" ht="15.75" customHeight="1">
      <c r="B337" s="49"/>
      <c r="D337" s="49"/>
    </row>
    <row r="338" ht="15.75" customHeight="1">
      <c r="B338" s="49"/>
      <c r="D338" s="49"/>
    </row>
    <row r="339" ht="15.75" customHeight="1">
      <c r="B339" s="49"/>
      <c r="D339" s="49"/>
    </row>
    <row r="340" ht="15.75" customHeight="1">
      <c r="B340" s="49"/>
      <c r="D340" s="49"/>
    </row>
    <row r="341" ht="15.75" customHeight="1">
      <c r="B341" s="49"/>
      <c r="D341" s="49"/>
    </row>
    <row r="342" ht="15.75" customHeight="1">
      <c r="B342" s="49"/>
      <c r="D342" s="49"/>
    </row>
    <row r="343" ht="15.75" customHeight="1">
      <c r="B343" s="49"/>
      <c r="D343" s="49"/>
    </row>
    <row r="344" ht="15.75" customHeight="1">
      <c r="B344" s="49"/>
      <c r="D344" s="49"/>
    </row>
    <row r="345" ht="15.75" customHeight="1">
      <c r="B345" s="49"/>
      <c r="D345" s="49"/>
    </row>
    <row r="346" ht="15.75" customHeight="1">
      <c r="B346" s="49"/>
      <c r="D346" s="49"/>
    </row>
    <row r="347" ht="15.75" customHeight="1">
      <c r="B347" s="49"/>
      <c r="D347" s="49"/>
    </row>
    <row r="348" ht="15.75" customHeight="1">
      <c r="B348" s="49"/>
      <c r="D348" s="49"/>
    </row>
    <row r="349" ht="15.75" customHeight="1">
      <c r="B349" s="49"/>
      <c r="D349" s="49"/>
    </row>
    <row r="350" ht="15.75" customHeight="1">
      <c r="B350" s="49"/>
      <c r="D350" s="49"/>
    </row>
    <row r="351" ht="15.75" customHeight="1">
      <c r="B351" s="49"/>
      <c r="D351" s="49"/>
    </row>
    <row r="352" ht="15.75" customHeight="1">
      <c r="B352" s="49"/>
      <c r="D352" s="49"/>
    </row>
    <row r="353" ht="15.75" customHeight="1">
      <c r="B353" s="49"/>
      <c r="D353" s="49"/>
    </row>
    <row r="354" ht="15.75" customHeight="1">
      <c r="B354" s="49"/>
      <c r="D354" s="49"/>
    </row>
    <row r="355" ht="15.75" customHeight="1">
      <c r="B355" s="49"/>
      <c r="D355" s="49"/>
    </row>
    <row r="356" ht="15.75" customHeight="1">
      <c r="B356" s="49"/>
      <c r="D356" s="49"/>
    </row>
    <row r="357" ht="15.75" customHeight="1">
      <c r="B357" s="49"/>
      <c r="D357" s="49"/>
    </row>
    <row r="358" ht="15.75" customHeight="1">
      <c r="B358" s="49"/>
      <c r="D358" s="49"/>
    </row>
    <row r="359" ht="15.75" customHeight="1">
      <c r="B359" s="49"/>
      <c r="D359" s="49"/>
    </row>
    <row r="360" ht="15.75" customHeight="1">
      <c r="B360" s="49"/>
      <c r="D360" s="49"/>
    </row>
    <row r="361" ht="15.75" customHeight="1">
      <c r="B361" s="49"/>
      <c r="D361" s="49"/>
    </row>
    <row r="362" ht="15.75" customHeight="1">
      <c r="B362" s="49"/>
      <c r="D362" s="49"/>
    </row>
    <row r="363" ht="15.75" customHeight="1">
      <c r="B363" s="49"/>
      <c r="D363" s="49"/>
    </row>
    <row r="364" ht="15.75" customHeight="1">
      <c r="B364" s="49"/>
      <c r="D364" s="49"/>
    </row>
    <row r="365" ht="15.75" customHeight="1">
      <c r="B365" s="49"/>
      <c r="D365" s="49"/>
    </row>
    <row r="366" ht="15.75" customHeight="1">
      <c r="B366" s="49"/>
      <c r="D366" s="49"/>
    </row>
    <row r="367" ht="15.75" customHeight="1">
      <c r="B367" s="49"/>
      <c r="D367" s="49"/>
    </row>
    <row r="368" ht="15.75" customHeight="1">
      <c r="B368" s="49"/>
      <c r="D368" s="49"/>
    </row>
    <row r="369" ht="15.75" customHeight="1">
      <c r="B369" s="49"/>
      <c r="D369" s="49"/>
    </row>
    <row r="370" ht="15.75" customHeight="1">
      <c r="B370" s="49"/>
      <c r="D370" s="49"/>
    </row>
    <row r="371" ht="15.75" customHeight="1">
      <c r="B371" s="49"/>
      <c r="D371" s="49"/>
    </row>
    <row r="372" ht="15.75" customHeight="1">
      <c r="B372" s="49"/>
      <c r="D372" s="49"/>
    </row>
    <row r="373" ht="15.75" customHeight="1">
      <c r="B373" s="49"/>
      <c r="D373" s="49"/>
    </row>
    <row r="374" ht="15.75" customHeight="1">
      <c r="B374" s="49"/>
      <c r="D374" s="49"/>
    </row>
    <row r="375" ht="15.75" customHeight="1">
      <c r="B375" s="49"/>
      <c r="D375" s="49"/>
    </row>
    <row r="376" ht="15.75" customHeight="1">
      <c r="B376" s="49"/>
      <c r="D376" s="49"/>
    </row>
    <row r="377" ht="15.75" customHeight="1">
      <c r="B377" s="49"/>
      <c r="D377" s="49"/>
    </row>
    <row r="378" ht="15.75" customHeight="1">
      <c r="B378" s="49"/>
      <c r="D378" s="49"/>
    </row>
    <row r="379" ht="15.75" customHeight="1">
      <c r="B379" s="49"/>
      <c r="D379" s="49"/>
    </row>
    <row r="380" ht="15.75" customHeight="1">
      <c r="B380" s="49"/>
      <c r="D380" s="49"/>
    </row>
    <row r="381" ht="15.75" customHeight="1">
      <c r="B381" s="49"/>
      <c r="D381" s="49"/>
    </row>
    <row r="382" ht="15.75" customHeight="1">
      <c r="B382" s="49"/>
      <c r="D382" s="49"/>
    </row>
    <row r="383" ht="15.75" customHeight="1">
      <c r="B383" s="49"/>
      <c r="D383" s="49"/>
    </row>
    <row r="384" ht="15.75" customHeight="1">
      <c r="B384" s="49"/>
      <c r="D384" s="49"/>
    </row>
    <row r="385" ht="15.75" customHeight="1">
      <c r="B385" s="49"/>
      <c r="D385" s="49"/>
    </row>
    <row r="386" ht="15.75" customHeight="1">
      <c r="B386" s="49"/>
      <c r="D386" s="49"/>
    </row>
    <row r="387" ht="15.75" customHeight="1">
      <c r="B387" s="49"/>
      <c r="D387" s="49"/>
    </row>
    <row r="388" ht="15.75" customHeight="1">
      <c r="B388" s="49"/>
      <c r="D388" s="49"/>
    </row>
    <row r="389" ht="15.75" customHeight="1">
      <c r="B389" s="49"/>
      <c r="D389" s="49"/>
    </row>
    <row r="390" ht="15.75" customHeight="1">
      <c r="B390" s="49"/>
      <c r="D390" s="49"/>
    </row>
    <row r="391" ht="15.75" customHeight="1">
      <c r="B391" s="49"/>
      <c r="D391" s="49"/>
    </row>
    <row r="392" ht="15.75" customHeight="1">
      <c r="B392" s="49"/>
      <c r="D392" s="49"/>
    </row>
    <row r="393" ht="15.75" customHeight="1">
      <c r="B393" s="49"/>
      <c r="D393" s="49"/>
    </row>
    <row r="394" ht="15.75" customHeight="1">
      <c r="B394" s="49"/>
      <c r="D394" s="49"/>
    </row>
    <row r="395" ht="15.75" customHeight="1">
      <c r="B395" s="49"/>
      <c r="D395" s="49"/>
    </row>
    <row r="396" ht="15.75" customHeight="1">
      <c r="B396" s="49"/>
      <c r="D396" s="49"/>
    </row>
    <row r="397" ht="15.75" customHeight="1">
      <c r="B397" s="49"/>
      <c r="D397" s="49"/>
    </row>
    <row r="398" ht="15.75" customHeight="1">
      <c r="B398" s="49"/>
      <c r="D398" s="49"/>
    </row>
    <row r="399" ht="15.75" customHeight="1">
      <c r="B399" s="49"/>
      <c r="D399" s="49"/>
    </row>
    <row r="400" ht="15.75" customHeight="1">
      <c r="B400" s="49"/>
      <c r="D400" s="49"/>
    </row>
    <row r="401" ht="15.75" customHeight="1">
      <c r="B401" s="49"/>
      <c r="D401" s="49"/>
    </row>
    <row r="402" ht="15.75" customHeight="1">
      <c r="B402" s="49"/>
      <c r="D402" s="49"/>
    </row>
    <row r="403" ht="15.75" customHeight="1">
      <c r="B403" s="49"/>
      <c r="D403" s="49"/>
    </row>
    <row r="404" ht="15.75" customHeight="1">
      <c r="B404" s="49"/>
      <c r="D404" s="49"/>
    </row>
    <row r="405" ht="15.75" customHeight="1">
      <c r="B405" s="49"/>
      <c r="D405" s="49"/>
    </row>
    <row r="406" ht="15.75" customHeight="1">
      <c r="B406" s="49"/>
      <c r="D406" s="49"/>
    </row>
    <row r="407" ht="15.75" customHeight="1">
      <c r="B407" s="49"/>
      <c r="D407" s="49"/>
    </row>
    <row r="408" ht="15.75" customHeight="1">
      <c r="B408" s="49"/>
      <c r="D408" s="49"/>
    </row>
    <row r="409" ht="15.75" customHeight="1">
      <c r="B409" s="49"/>
      <c r="D409" s="49"/>
    </row>
    <row r="410" ht="15.75" customHeight="1">
      <c r="B410" s="49"/>
      <c r="D410" s="49"/>
    </row>
    <row r="411" ht="15.75" customHeight="1">
      <c r="B411" s="49"/>
      <c r="D411" s="49"/>
    </row>
    <row r="412" ht="15.75" customHeight="1">
      <c r="B412" s="49"/>
      <c r="D412" s="49"/>
    </row>
    <row r="413" ht="15.75" customHeight="1">
      <c r="B413" s="49"/>
      <c r="D413" s="49"/>
    </row>
    <row r="414" ht="15.75" customHeight="1">
      <c r="B414" s="49"/>
      <c r="D414" s="49"/>
    </row>
    <row r="415" ht="15.75" customHeight="1">
      <c r="B415" s="49"/>
      <c r="D415" s="49"/>
    </row>
    <row r="416" ht="15.75" customHeight="1">
      <c r="B416" s="49"/>
      <c r="D416" s="49"/>
    </row>
    <row r="417" ht="15.75" customHeight="1">
      <c r="B417" s="49"/>
      <c r="D417" s="49"/>
    </row>
    <row r="418" ht="15.75" customHeight="1">
      <c r="B418" s="49"/>
      <c r="D418" s="49"/>
    </row>
    <row r="419" ht="15.75" customHeight="1">
      <c r="B419" s="49"/>
      <c r="D419" s="49"/>
    </row>
    <row r="420" ht="15.75" customHeight="1">
      <c r="B420" s="49"/>
      <c r="D420" s="49"/>
    </row>
    <row r="421" ht="15.75" customHeight="1">
      <c r="B421" s="49"/>
      <c r="D421" s="49"/>
    </row>
    <row r="422" ht="15.75" customHeight="1">
      <c r="B422" s="49"/>
      <c r="D422" s="49"/>
    </row>
    <row r="423" ht="15.75" customHeight="1">
      <c r="B423" s="49"/>
      <c r="D423" s="49"/>
    </row>
    <row r="424" ht="15.75" customHeight="1">
      <c r="B424" s="49"/>
      <c r="D424" s="49"/>
    </row>
    <row r="425" ht="15.75" customHeight="1">
      <c r="B425" s="49"/>
      <c r="D425" s="49"/>
    </row>
    <row r="426" ht="15.75" customHeight="1">
      <c r="B426" s="49"/>
      <c r="D426" s="49"/>
    </row>
    <row r="427" ht="15.75" customHeight="1">
      <c r="B427" s="49"/>
      <c r="D427" s="49"/>
    </row>
    <row r="428" ht="15.75" customHeight="1">
      <c r="B428" s="49"/>
      <c r="D428" s="49"/>
    </row>
    <row r="429" ht="15.75" customHeight="1">
      <c r="B429" s="49"/>
      <c r="D429" s="49"/>
    </row>
    <row r="430" ht="15.75" customHeight="1">
      <c r="B430" s="49"/>
      <c r="D430" s="49"/>
    </row>
    <row r="431" ht="15.75" customHeight="1">
      <c r="B431" s="49"/>
      <c r="D431" s="49"/>
    </row>
    <row r="432" ht="15.75" customHeight="1">
      <c r="B432" s="49"/>
      <c r="D432" s="49"/>
    </row>
    <row r="433" ht="15.75" customHeight="1">
      <c r="B433" s="49"/>
      <c r="D433" s="49"/>
    </row>
    <row r="434" ht="15.75" customHeight="1">
      <c r="B434" s="49"/>
      <c r="D434" s="49"/>
    </row>
    <row r="435" ht="15.75" customHeight="1">
      <c r="B435" s="49"/>
      <c r="D435" s="49"/>
    </row>
    <row r="436" ht="15.75" customHeight="1">
      <c r="B436" s="49"/>
      <c r="D436" s="49"/>
    </row>
    <row r="437" ht="15.75" customHeight="1">
      <c r="B437" s="49"/>
      <c r="D437" s="49"/>
    </row>
    <row r="438" ht="15.75" customHeight="1">
      <c r="B438" s="49"/>
      <c r="D438" s="49"/>
    </row>
    <row r="439" ht="15.75" customHeight="1">
      <c r="B439" s="49"/>
      <c r="D439" s="49"/>
    </row>
    <row r="440" ht="15.75" customHeight="1">
      <c r="B440" s="49"/>
      <c r="D440" s="49"/>
    </row>
    <row r="441" ht="15.75" customHeight="1">
      <c r="B441" s="49"/>
      <c r="D441" s="49"/>
    </row>
    <row r="442" ht="15.75" customHeight="1">
      <c r="B442" s="49"/>
      <c r="D442" s="49"/>
    </row>
    <row r="443" ht="15.75" customHeight="1">
      <c r="B443" s="49"/>
      <c r="D443" s="49"/>
    </row>
    <row r="444" ht="15.75" customHeight="1">
      <c r="B444" s="49"/>
      <c r="D444" s="49"/>
    </row>
    <row r="445" ht="15.75" customHeight="1">
      <c r="B445" s="49"/>
      <c r="D445" s="49"/>
    </row>
    <row r="446" ht="15.75" customHeight="1">
      <c r="B446" s="49"/>
      <c r="D446" s="49"/>
    </row>
    <row r="447" ht="15.75" customHeight="1">
      <c r="B447" s="49"/>
      <c r="D447" s="49"/>
    </row>
    <row r="448" ht="15.75" customHeight="1">
      <c r="B448" s="49"/>
      <c r="D448" s="49"/>
    </row>
    <row r="449" ht="15.75" customHeight="1">
      <c r="B449" s="49"/>
      <c r="D449" s="49"/>
    </row>
    <row r="450" ht="15.75" customHeight="1">
      <c r="B450" s="49"/>
      <c r="D450" s="49"/>
    </row>
    <row r="451" ht="15.75" customHeight="1">
      <c r="B451" s="49"/>
      <c r="D451" s="49"/>
    </row>
    <row r="452" ht="15.75" customHeight="1">
      <c r="B452" s="49"/>
      <c r="D452" s="49"/>
    </row>
    <row r="453" ht="15.75" customHeight="1">
      <c r="B453" s="49"/>
      <c r="D453" s="49"/>
    </row>
    <row r="454" ht="15.75" customHeight="1">
      <c r="B454" s="49"/>
      <c r="D454" s="49"/>
    </row>
    <row r="455" ht="15.75" customHeight="1">
      <c r="B455" s="49"/>
      <c r="D455" s="49"/>
    </row>
    <row r="456" ht="15.75" customHeight="1">
      <c r="B456" s="49"/>
      <c r="D456" s="49"/>
    </row>
    <row r="457" ht="15.75" customHeight="1">
      <c r="B457" s="49"/>
      <c r="D457" s="49"/>
    </row>
    <row r="458" ht="15.75" customHeight="1">
      <c r="B458" s="49"/>
      <c r="D458" s="49"/>
    </row>
    <row r="459" ht="15.75" customHeight="1">
      <c r="B459" s="49"/>
      <c r="D459" s="49"/>
    </row>
    <row r="460" ht="15.75" customHeight="1">
      <c r="B460" s="49"/>
      <c r="D460" s="49"/>
    </row>
    <row r="461" ht="15.75" customHeight="1">
      <c r="B461" s="49"/>
      <c r="D461" s="49"/>
    </row>
    <row r="462" ht="15.75" customHeight="1">
      <c r="B462" s="49"/>
      <c r="D462" s="49"/>
    </row>
    <row r="463" ht="15.75" customHeight="1">
      <c r="B463" s="49"/>
      <c r="D463" s="49"/>
    </row>
    <row r="464" ht="15.75" customHeight="1">
      <c r="B464" s="49"/>
      <c r="D464" s="49"/>
    </row>
    <row r="465" ht="15.75" customHeight="1">
      <c r="B465" s="49"/>
      <c r="D465" s="49"/>
    </row>
    <row r="466" ht="15.75" customHeight="1">
      <c r="B466" s="49"/>
      <c r="D466" s="49"/>
    </row>
    <row r="467" ht="15.75" customHeight="1">
      <c r="B467" s="49"/>
      <c r="D467" s="49"/>
    </row>
    <row r="468" ht="15.75" customHeight="1">
      <c r="B468" s="49"/>
      <c r="D468" s="49"/>
    </row>
    <row r="469" ht="15.75" customHeight="1">
      <c r="B469" s="49"/>
      <c r="D469" s="49"/>
    </row>
    <row r="470" ht="15.75" customHeight="1">
      <c r="B470" s="49"/>
      <c r="D470" s="49"/>
    </row>
    <row r="471" ht="15.75" customHeight="1">
      <c r="B471" s="49"/>
      <c r="D471" s="49"/>
    </row>
    <row r="472" ht="15.75" customHeight="1">
      <c r="B472" s="49"/>
      <c r="D472" s="49"/>
    </row>
    <row r="473" ht="15.75" customHeight="1">
      <c r="B473" s="49"/>
      <c r="D473" s="49"/>
    </row>
    <row r="474" ht="15.75" customHeight="1">
      <c r="B474" s="49"/>
      <c r="D474" s="49"/>
    </row>
    <row r="475" ht="15.75" customHeight="1">
      <c r="B475" s="49"/>
      <c r="D475" s="49"/>
    </row>
    <row r="476" ht="15.75" customHeight="1">
      <c r="B476" s="49"/>
      <c r="D476" s="49"/>
    </row>
    <row r="477" ht="15.75" customHeight="1">
      <c r="B477" s="49"/>
      <c r="D477" s="49"/>
    </row>
    <row r="478" ht="15.75" customHeight="1">
      <c r="B478" s="49"/>
      <c r="D478" s="49"/>
    </row>
    <row r="479" ht="15.75" customHeight="1">
      <c r="B479" s="49"/>
      <c r="D479" s="49"/>
    </row>
    <row r="480" ht="15.75" customHeight="1">
      <c r="B480" s="49"/>
      <c r="D480" s="49"/>
    </row>
    <row r="481" ht="15.75" customHeight="1">
      <c r="B481" s="49"/>
      <c r="D481" s="49"/>
    </row>
    <row r="482" ht="15.75" customHeight="1">
      <c r="B482" s="49"/>
      <c r="D482" s="49"/>
    </row>
    <row r="483" ht="15.75" customHeight="1">
      <c r="B483" s="49"/>
      <c r="D483" s="49"/>
    </row>
    <row r="484" ht="15.75" customHeight="1">
      <c r="B484" s="49"/>
      <c r="D484" s="49"/>
    </row>
    <row r="485" ht="15.75" customHeight="1">
      <c r="B485" s="49"/>
      <c r="D485" s="49"/>
    </row>
    <row r="486" ht="15.75" customHeight="1">
      <c r="B486" s="49"/>
      <c r="D486" s="49"/>
    </row>
    <row r="487" ht="15.75" customHeight="1">
      <c r="B487" s="49"/>
      <c r="D487" s="49"/>
    </row>
    <row r="488" ht="15.75" customHeight="1">
      <c r="B488" s="49"/>
      <c r="D488" s="49"/>
    </row>
    <row r="489" ht="15.75" customHeight="1">
      <c r="B489" s="49"/>
      <c r="D489" s="49"/>
    </row>
    <row r="490" ht="15.75" customHeight="1">
      <c r="B490" s="49"/>
      <c r="D490" s="49"/>
    </row>
    <row r="491" ht="15.75" customHeight="1">
      <c r="B491" s="49"/>
      <c r="D491" s="49"/>
    </row>
    <row r="492" ht="15.75" customHeight="1">
      <c r="B492" s="49"/>
      <c r="D492" s="49"/>
    </row>
    <row r="493" ht="15.75" customHeight="1">
      <c r="B493" s="49"/>
      <c r="D493" s="49"/>
    </row>
    <row r="494" ht="15.75" customHeight="1">
      <c r="B494" s="49"/>
      <c r="D494" s="49"/>
    </row>
    <row r="495" ht="15.75" customHeight="1">
      <c r="B495" s="49"/>
      <c r="D495" s="49"/>
    </row>
    <row r="496" ht="15.75" customHeight="1">
      <c r="B496" s="49"/>
      <c r="D496" s="49"/>
    </row>
    <row r="497" ht="15.75" customHeight="1">
      <c r="B497" s="49"/>
      <c r="D497" s="49"/>
    </row>
    <row r="498" ht="15.75" customHeight="1">
      <c r="B498" s="49"/>
      <c r="D498" s="49"/>
    </row>
    <row r="499" ht="15.75" customHeight="1">
      <c r="B499" s="49"/>
      <c r="D499" s="49"/>
    </row>
    <row r="500" ht="15.75" customHeight="1">
      <c r="B500" s="49"/>
      <c r="D500" s="49"/>
    </row>
    <row r="501" ht="15.75" customHeight="1">
      <c r="B501" s="49"/>
      <c r="D501" s="49"/>
    </row>
    <row r="502" ht="15.75" customHeight="1">
      <c r="B502" s="49"/>
      <c r="D502" s="49"/>
    </row>
    <row r="503" ht="15.75" customHeight="1">
      <c r="B503" s="49"/>
      <c r="D503" s="49"/>
    </row>
    <row r="504" ht="15.75" customHeight="1">
      <c r="B504" s="49"/>
      <c r="D504" s="49"/>
    </row>
    <row r="505" ht="15.75" customHeight="1">
      <c r="B505" s="49"/>
      <c r="D505" s="49"/>
    </row>
    <row r="506" ht="15.75" customHeight="1">
      <c r="B506" s="49"/>
      <c r="D506" s="49"/>
    </row>
    <row r="507" ht="15.75" customHeight="1">
      <c r="B507" s="49"/>
      <c r="D507" s="49"/>
    </row>
    <row r="508" ht="15.75" customHeight="1">
      <c r="B508" s="49"/>
      <c r="D508" s="49"/>
    </row>
    <row r="509" ht="15.75" customHeight="1">
      <c r="B509" s="49"/>
      <c r="D509" s="49"/>
    </row>
    <row r="510" ht="15.75" customHeight="1">
      <c r="B510" s="49"/>
      <c r="D510" s="49"/>
    </row>
    <row r="511" ht="15.75" customHeight="1">
      <c r="B511" s="49"/>
      <c r="D511" s="49"/>
    </row>
    <row r="512" ht="15.75" customHeight="1">
      <c r="B512" s="49"/>
      <c r="D512" s="49"/>
    </row>
    <row r="513" ht="15.75" customHeight="1">
      <c r="B513" s="49"/>
      <c r="D513" s="49"/>
    </row>
    <row r="514" ht="15.75" customHeight="1">
      <c r="B514" s="49"/>
      <c r="D514" s="49"/>
    </row>
    <row r="515" ht="15.75" customHeight="1">
      <c r="B515" s="49"/>
      <c r="D515" s="49"/>
    </row>
    <row r="516" ht="15.75" customHeight="1">
      <c r="B516" s="49"/>
      <c r="D516" s="49"/>
    </row>
    <row r="517" ht="15.75" customHeight="1">
      <c r="B517" s="49"/>
      <c r="D517" s="49"/>
    </row>
    <row r="518" ht="15.75" customHeight="1">
      <c r="B518" s="49"/>
      <c r="D518" s="49"/>
    </row>
    <row r="519" ht="15.75" customHeight="1">
      <c r="B519" s="49"/>
      <c r="D519" s="49"/>
    </row>
    <row r="520" ht="15.75" customHeight="1">
      <c r="B520" s="49"/>
      <c r="D520" s="49"/>
    </row>
    <row r="521" ht="15.75" customHeight="1">
      <c r="B521" s="49"/>
      <c r="D521" s="49"/>
    </row>
    <row r="522" ht="15.75" customHeight="1">
      <c r="B522" s="49"/>
      <c r="D522" s="49"/>
    </row>
    <row r="523" ht="15.75" customHeight="1">
      <c r="B523" s="49"/>
      <c r="D523" s="49"/>
    </row>
    <row r="524" ht="15.75" customHeight="1">
      <c r="B524" s="49"/>
      <c r="D524" s="49"/>
    </row>
    <row r="525" ht="15.75" customHeight="1">
      <c r="B525" s="49"/>
      <c r="D525" s="49"/>
    </row>
    <row r="526" ht="15.75" customHeight="1">
      <c r="B526" s="49"/>
      <c r="D526" s="49"/>
    </row>
    <row r="527" ht="15.75" customHeight="1">
      <c r="B527" s="49"/>
      <c r="D527" s="49"/>
    </row>
    <row r="528" ht="15.75" customHeight="1">
      <c r="B528" s="49"/>
      <c r="D528" s="49"/>
    </row>
    <row r="529" ht="15.75" customHeight="1">
      <c r="B529" s="49"/>
      <c r="D529" s="49"/>
    </row>
    <row r="530" ht="15.75" customHeight="1">
      <c r="B530" s="49"/>
      <c r="D530" s="49"/>
    </row>
    <row r="531" ht="15.75" customHeight="1">
      <c r="B531" s="49"/>
      <c r="D531" s="49"/>
    </row>
    <row r="532" ht="15.75" customHeight="1">
      <c r="B532" s="49"/>
      <c r="D532" s="49"/>
    </row>
    <row r="533" ht="15.75" customHeight="1">
      <c r="B533" s="49"/>
      <c r="D533" s="49"/>
    </row>
    <row r="534" ht="15.75" customHeight="1">
      <c r="B534" s="49"/>
      <c r="D534" s="49"/>
    </row>
    <row r="535" ht="15.75" customHeight="1">
      <c r="B535" s="49"/>
      <c r="D535" s="49"/>
    </row>
    <row r="536" ht="15.75" customHeight="1">
      <c r="B536" s="49"/>
      <c r="D536" s="49"/>
    </row>
    <row r="537" ht="15.75" customHeight="1">
      <c r="B537" s="49"/>
      <c r="D537" s="49"/>
    </row>
    <row r="538" ht="15.75" customHeight="1">
      <c r="B538" s="49"/>
      <c r="D538" s="49"/>
    </row>
    <row r="539" ht="15.75" customHeight="1">
      <c r="B539" s="49"/>
      <c r="D539" s="49"/>
    </row>
    <row r="540" ht="15.75" customHeight="1">
      <c r="B540" s="49"/>
      <c r="D540" s="49"/>
    </row>
    <row r="541" ht="15.75" customHeight="1">
      <c r="B541" s="49"/>
      <c r="D541" s="49"/>
    </row>
    <row r="542" ht="15.75" customHeight="1">
      <c r="B542" s="49"/>
      <c r="D542" s="49"/>
    </row>
    <row r="543" ht="15.75" customHeight="1">
      <c r="B543" s="49"/>
      <c r="D543" s="49"/>
    </row>
    <row r="544" ht="15.75" customHeight="1">
      <c r="B544" s="49"/>
      <c r="D544" s="49"/>
    </row>
    <row r="545" ht="15.75" customHeight="1">
      <c r="B545" s="49"/>
      <c r="D545" s="49"/>
    </row>
    <row r="546" ht="15.75" customHeight="1">
      <c r="B546" s="49"/>
      <c r="D546" s="49"/>
    </row>
    <row r="547" ht="15.75" customHeight="1">
      <c r="B547" s="49"/>
      <c r="D547" s="49"/>
    </row>
    <row r="548" ht="15.75" customHeight="1">
      <c r="B548" s="49"/>
      <c r="D548" s="49"/>
    </row>
    <row r="549" ht="15.75" customHeight="1">
      <c r="B549" s="49"/>
      <c r="D549" s="49"/>
    </row>
    <row r="550" ht="15.75" customHeight="1">
      <c r="B550" s="49"/>
      <c r="D550" s="49"/>
    </row>
    <row r="551" ht="15.75" customHeight="1">
      <c r="B551" s="49"/>
      <c r="D551" s="49"/>
    </row>
    <row r="552" ht="15.75" customHeight="1">
      <c r="B552" s="49"/>
      <c r="D552" s="49"/>
    </row>
    <row r="553" ht="15.75" customHeight="1">
      <c r="B553" s="49"/>
      <c r="D553" s="49"/>
    </row>
    <row r="554" ht="15.75" customHeight="1">
      <c r="B554" s="49"/>
      <c r="D554" s="49"/>
    </row>
    <row r="555" ht="15.75" customHeight="1">
      <c r="B555" s="49"/>
      <c r="D555" s="49"/>
    </row>
    <row r="556" ht="15.75" customHeight="1">
      <c r="B556" s="49"/>
      <c r="D556" s="49"/>
    </row>
    <row r="557" ht="15.75" customHeight="1">
      <c r="B557" s="49"/>
      <c r="D557" s="49"/>
    </row>
    <row r="558" ht="15.75" customHeight="1">
      <c r="B558" s="49"/>
      <c r="D558" s="49"/>
    </row>
    <row r="559" ht="15.75" customHeight="1">
      <c r="B559" s="49"/>
      <c r="D559" s="49"/>
    </row>
    <row r="560" ht="15.75" customHeight="1">
      <c r="B560" s="49"/>
      <c r="D560" s="49"/>
    </row>
    <row r="561" ht="15.75" customHeight="1">
      <c r="B561" s="49"/>
      <c r="D561" s="49"/>
    </row>
    <row r="562" ht="15.75" customHeight="1">
      <c r="B562" s="49"/>
      <c r="D562" s="49"/>
    </row>
    <row r="563" ht="15.75" customHeight="1">
      <c r="B563" s="49"/>
      <c r="D563" s="49"/>
    </row>
    <row r="564" ht="15.75" customHeight="1">
      <c r="B564" s="49"/>
      <c r="D564" s="49"/>
    </row>
    <row r="565" ht="15.75" customHeight="1">
      <c r="B565" s="49"/>
      <c r="D565" s="49"/>
    </row>
    <row r="566" ht="15.75" customHeight="1">
      <c r="B566" s="49"/>
      <c r="D566" s="49"/>
    </row>
    <row r="567" ht="15.75" customHeight="1">
      <c r="B567" s="49"/>
      <c r="D567" s="49"/>
    </row>
    <row r="568" ht="15.75" customHeight="1">
      <c r="B568" s="49"/>
      <c r="D568" s="49"/>
    </row>
    <row r="569" ht="15.75" customHeight="1">
      <c r="B569" s="49"/>
      <c r="D569" s="49"/>
    </row>
    <row r="570" ht="15.75" customHeight="1">
      <c r="B570" s="49"/>
      <c r="D570" s="49"/>
    </row>
    <row r="571" ht="15.75" customHeight="1">
      <c r="B571" s="49"/>
      <c r="D571" s="49"/>
    </row>
    <row r="572" ht="15.75" customHeight="1">
      <c r="B572" s="49"/>
      <c r="D572" s="49"/>
    </row>
    <row r="573" ht="15.75" customHeight="1">
      <c r="B573" s="49"/>
      <c r="D573" s="49"/>
    </row>
    <row r="574" ht="15.75" customHeight="1">
      <c r="B574" s="49"/>
      <c r="D574" s="49"/>
    </row>
    <row r="575" ht="15.75" customHeight="1">
      <c r="B575" s="49"/>
      <c r="D575" s="49"/>
    </row>
    <row r="576" ht="15.75" customHeight="1">
      <c r="B576" s="49"/>
      <c r="D576" s="49"/>
    </row>
    <row r="577" ht="15.75" customHeight="1">
      <c r="B577" s="49"/>
      <c r="D577" s="49"/>
    </row>
    <row r="578" ht="15.75" customHeight="1">
      <c r="B578" s="49"/>
      <c r="D578" s="49"/>
    </row>
    <row r="579" ht="15.75" customHeight="1">
      <c r="B579" s="49"/>
      <c r="D579" s="49"/>
    </row>
    <row r="580" ht="15.75" customHeight="1">
      <c r="B580" s="49"/>
      <c r="D580" s="49"/>
    </row>
    <row r="581" ht="15.75" customHeight="1">
      <c r="B581" s="49"/>
      <c r="D581" s="49"/>
    </row>
    <row r="582" ht="15.75" customHeight="1">
      <c r="B582" s="49"/>
      <c r="D582" s="49"/>
    </row>
    <row r="583" ht="15.75" customHeight="1">
      <c r="B583" s="49"/>
      <c r="D583" s="49"/>
    </row>
    <row r="584" ht="15.75" customHeight="1">
      <c r="B584" s="49"/>
      <c r="D584" s="49"/>
    </row>
    <row r="585" ht="15.75" customHeight="1">
      <c r="B585" s="49"/>
      <c r="D585" s="49"/>
    </row>
    <row r="586" ht="15.75" customHeight="1">
      <c r="B586" s="49"/>
      <c r="D586" s="49"/>
    </row>
    <row r="587" ht="15.75" customHeight="1">
      <c r="B587" s="49"/>
      <c r="D587" s="49"/>
    </row>
    <row r="588" ht="15.75" customHeight="1">
      <c r="B588" s="49"/>
      <c r="D588" s="49"/>
    </row>
    <row r="589" ht="15.75" customHeight="1">
      <c r="B589" s="49"/>
      <c r="D589" s="49"/>
    </row>
    <row r="590" ht="15.75" customHeight="1">
      <c r="B590" s="49"/>
      <c r="D590" s="49"/>
    </row>
    <row r="591" ht="15.75" customHeight="1">
      <c r="B591" s="49"/>
      <c r="D591" s="49"/>
    </row>
    <row r="592" ht="15.75" customHeight="1">
      <c r="B592" s="49"/>
      <c r="D592" s="49"/>
    </row>
    <row r="593" ht="15.75" customHeight="1">
      <c r="B593" s="49"/>
      <c r="D593" s="49"/>
    </row>
    <row r="594" ht="15.75" customHeight="1">
      <c r="B594" s="49"/>
      <c r="D594" s="49"/>
    </row>
    <row r="595" ht="15.75" customHeight="1">
      <c r="B595" s="49"/>
      <c r="D595" s="49"/>
    </row>
    <row r="596" ht="15.75" customHeight="1">
      <c r="B596" s="49"/>
      <c r="D596" s="49"/>
    </row>
    <row r="597" ht="15.75" customHeight="1">
      <c r="B597" s="49"/>
      <c r="D597" s="49"/>
    </row>
    <row r="598" ht="15.75" customHeight="1">
      <c r="B598" s="49"/>
      <c r="D598" s="49"/>
    </row>
    <row r="599" ht="15.75" customHeight="1">
      <c r="B599" s="49"/>
      <c r="D599" s="49"/>
    </row>
    <row r="600" ht="15.75" customHeight="1">
      <c r="B600" s="49"/>
      <c r="D600" s="49"/>
    </row>
    <row r="601" ht="15.75" customHeight="1">
      <c r="B601" s="49"/>
      <c r="D601" s="49"/>
    </row>
    <row r="602" ht="15.75" customHeight="1">
      <c r="B602" s="49"/>
      <c r="D602" s="49"/>
    </row>
    <row r="603" ht="15.75" customHeight="1">
      <c r="B603" s="49"/>
      <c r="D603" s="49"/>
    </row>
    <row r="604" ht="15.75" customHeight="1">
      <c r="B604" s="49"/>
      <c r="D604" s="49"/>
    </row>
    <row r="605" ht="15.75" customHeight="1">
      <c r="B605" s="49"/>
      <c r="D605" s="49"/>
    </row>
    <row r="606" ht="15.75" customHeight="1">
      <c r="B606" s="49"/>
      <c r="D606" s="49"/>
    </row>
    <row r="607" ht="15.75" customHeight="1">
      <c r="B607" s="49"/>
      <c r="D607" s="49"/>
    </row>
    <row r="608" ht="15.75" customHeight="1">
      <c r="B608" s="49"/>
      <c r="D608" s="49"/>
    </row>
    <row r="609" ht="15.75" customHeight="1">
      <c r="B609" s="49"/>
      <c r="D609" s="49"/>
    </row>
    <row r="610" ht="15.75" customHeight="1">
      <c r="B610" s="49"/>
      <c r="D610" s="49"/>
    </row>
    <row r="611" ht="15.75" customHeight="1">
      <c r="B611" s="49"/>
      <c r="D611" s="49"/>
    </row>
    <row r="612" ht="15.75" customHeight="1">
      <c r="B612" s="49"/>
      <c r="D612" s="49"/>
    </row>
    <row r="613" ht="15.75" customHeight="1">
      <c r="B613" s="49"/>
      <c r="D613" s="49"/>
    </row>
    <row r="614" ht="15.75" customHeight="1">
      <c r="B614" s="49"/>
      <c r="D614" s="49"/>
    </row>
    <row r="615" ht="15.75" customHeight="1">
      <c r="B615" s="49"/>
      <c r="D615" s="49"/>
    </row>
    <row r="616" ht="15.75" customHeight="1">
      <c r="B616" s="49"/>
      <c r="D616" s="49"/>
    </row>
    <row r="617" ht="15.75" customHeight="1">
      <c r="B617" s="49"/>
      <c r="D617" s="49"/>
    </row>
    <row r="618" ht="15.75" customHeight="1">
      <c r="B618" s="49"/>
      <c r="D618" s="49"/>
    </row>
    <row r="619" ht="15.75" customHeight="1">
      <c r="B619" s="49"/>
      <c r="D619" s="49"/>
    </row>
    <row r="620" ht="15.75" customHeight="1">
      <c r="B620" s="49"/>
      <c r="D620" s="49"/>
    </row>
    <row r="621" ht="15.75" customHeight="1">
      <c r="B621" s="49"/>
      <c r="D621" s="49"/>
    </row>
    <row r="622" ht="15.75" customHeight="1">
      <c r="B622" s="49"/>
      <c r="D622" s="49"/>
    </row>
    <row r="623" ht="15.75" customHeight="1">
      <c r="B623" s="49"/>
      <c r="D623" s="49"/>
    </row>
    <row r="624" ht="15.75" customHeight="1">
      <c r="B624" s="49"/>
      <c r="D624" s="49"/>
    </row>
    <row r="625" ht="15.75" customHeight="1">
      <c r="B625" s="49"/>
      <c r="D625" s="49"/>
    </row>
    <row r="626" ht="15.75" customHeight="1">
      <c r="B626" s="49"/>
      <c r="D626" s="49"/>
    </row>
    <row r="627" ht="15.75" customHeight="1">
      <c r="B627" s="49"/>
      <c r="D627" s="49"/>
    </row>
    <row r="628" ht="15.75" customHeight="1">
      <c r="B628" s="49"/>
      <c r="D628" s="49"/>
    </row>
    <row r="629" ht="15.75" customHeight="1">
      <c r="B629" s="49"/>
      <c r="D629" s="49"/>
    </row>
    <row r="630" ht="15.75" customHeight="1">
      <c r="B630" s="49"/>
      <c r="D630" s="49"/>
    </row>
    <row r="631" ht="15.75" customHeight="1">
      <c r="B631" s="49"/>
      <c r="D631" s="49"/>
    </row>
    <row r="632" ht="15.75" customHeight="1">
      <c r="B632" s="49"/>
      <c r="D632" s="49"/>
    </row>
    <row r="633" ht="15.75" customHeight="1">
      <c r="B633" s="49"/>
      <c r="D633" s="49"/>
    </row>
    <row r="634" ht="15.75" customHeight="1">
      <c r="B634" s="49"/>
      <c r="D634" s="49"/>
    </row>
    <row r="635" ht="15.75" customHeight="1">
      <c r="B635" s="49"/>
      <c r="D635" s="49"/>
    </row>
    <row r="636" ht="15.75" customHeight="1">
      <c r="B636" s="49"/>
      <c r="D636" s="49"/>
    </row>
    <row r="637" ht="15.75" customHeight="1">
      <c r="B637" s="49"/>
      <c r="D637" s="49"/>
    </row>
    <row r="638" ht="15.75" customHeight="1">
      <c r="B638" s="49"/>
      <c r="D638" s="49"/>
    </row>
    <row r="639" ht="15.75" customHeight="1">
      <c r="B639" s="49"/>
      <c r="D639" s="49"/>
    </row>
    <row r="640" ht="15.75" customHeight="1">
      <c r="B640" s="49"/>
      <c r="D640" s="49"/>
    </row>
    <row r="641" ht="15.75" customHeight="1">
      <c r="B641" s="49"/>
      <c r="D641" s="49"/>
    </row>
    <row r="642" ht="15.75" customHeight="1">
      <c r="B642" s="49"/>
      <c r="D642" s="49"/>
    </row>
    <row r="643" ht="15.75" customHeight="1">
      <c r="B643" s="49"/>
      <c r="D643" s="49"/>
    </row>
    <row r="644" ht="15.75" customHeight="1">
      <c r="B644" s="49"/>
      <c r="D644" s="49"/>
    </row>
    <row r="645" ht="15.75" customHeight="1">
      <c r="B645" s="49"/>
      <c r="D645" s="49"/>
    </row>
    <row r="646" ht="15.75" customHeight="1">
      <c r="B646" s="49"/>
      <c r="D646" s="49"/>
    </row>
    <row r="647" ht="15.75" customHeight="1">
      <c r="B647" s="49"/>
      <c r="D647" s="49"/>
    </row>
    <row r="648" ht="15.75" customHeight="1">
      <c r="B648" s="49"/>
      <c r="D648" s="49"/>
    </row>
    <row r="649" ht="15.75" customHeight="1">
      <c r="B649" s="49"/>
      <c r="D649" s="49"/>
    </row>
    <row r="650" ht="15.75" customHeight="1">
      <c r="B650" s="49"/>
      <c r="D650" s="49"/>
    </row>
    <row r="651" ht="15.75" customHeight="1">
      <c r="B651" s="49"/>
      <c r="D651" s="49"/>
    </row>
    <row r="652" ht="15.75" customHeight="1">
      <c r="B652" s="49"/>
      <c r="D652" s="49"/>
    </row>
    <row r="653" ht="15.75" customHeight="1">
      <c r="B653" s="49"/>
      <c r="D653" s="49"/>
    </row>
    <row r="654" ht="15.75" customHeight="1">
      <c r="B654" s="49"/>
      <c r="D654" s="49"/>
    </row>
    <row r="655" ht="15.75" customHeight="1">
      <c r="B655" s="49"/>
      <c r="D655" s="49"/>
    </row>
    <row r="656" ht="15.75" customHeight="1">
      <c r="B656" s="49"/>
      <c r="D656" s="49"/>
    </row>
    <row r="657" ht="15.75" customHeight="1">
      <c r="B657" s="49"/>
      <c r="D657" s="49"/>
    </row>
    <row r="658" ht="15.75" customHeight="1">
      <c r="B658" s="49"/>
      <c r="D658" s="49"/>
    </row>
    <row r="659" ht="15.75" customHeight="1">
      <c r="B659" s="49"/>
      <c r="D659" s="49"/>
    </row>
    <row r="660" ht="15.75" customHeight="1">
      <c r="B660" s="49"/>
      <c r="D660" s="49"/>
    </row>
    <row r="661" ht="15.75" customHeight="1">
      <c r="B661" s="49"/>
      <c r="D661" s="49"/>
    </row>
    <row r="662" ht="15.75" customHeight="1">
      <c r="B662" s="49"/>
      <c r="D662" s="49"/>
    </row>
    <row r="663" ht="15.75" customHeight="1">
      <c r="B663" s="49"/>
      <c r="D663" s="49"/>
    </row>
    <row r="664" ht="15.75" customHeight="1">
      <c r="B664" s="49"/>
      <c r="D664" s="49"/>
    </row>
    <row r="665" ht="15.75" customHeight="1">
      <c r="B665" s="49"/>
      <c r="D665" s="49"/>
    </row>
    <row r="666" ht="15.75" customHeight="1">
      <c r="B666" s="49"/>
      <c r="D666" s="49"/>
    </row>
    <row r="667" ht="15.75" customHeight="1">
      <c r="B667" s="49"/>
      <c r="D667" s="49"/>
    </row>
    <row r="668" ht="15.75" customHeight="1">
      <c r="B668" s="49"/>
      <c r="D668" s="49"/>
    </row>
    <row r="669" ht="15.75" customHeight="1">
      <c r="B669" s="49"/>
      <c r="D669" s="49"/>
    </row>
    <row r="670" ht="15.75" customHeight="1">
      <c r="B670" s="49"/>
      <c r="D670" s="49"/>
    </row>
    <row r="671" ht="15.75" customHeight="1">
      <c r="B671" s="49"/>
      <c r="D671" s="49"/>
    </row>
    <row r="672" ht="15.75" customHeight="1">
      <c r="B672" s="49"/>
      <c r="D672" s="49"/>
    </row>
    <row r="673" ht="15.75" customHeight="1">
      <c r="B673" s="49"/>
      <c r="D673" s="49"/>
    </row>
    <row r="674" ht="15.75" customHeight="1">
      <c r="B674" s="49"/>
      <c r="D674" s="49"/>
    </row>
    <row r="675" ht="15.75" customHeight="1">
      <c r="B675" s="49"/>
      <c r="D675" s="49"/>
    </row>
    <row r="676" ht="15.75" customHeight="1">
      <c r="B676" s="49"/>
      <c r="D676" s="49"/>
    </row>
    <row r="677" ht="15.75" customHeight="1">
      <c r="B677" s="49"/>
      <c r="D677" s="49"/>
    </row>
    <row r="678" ht="15.75" customHeight="1">
      <c r="B678" s="49"/>
      <c r="D678" s="49"/>
    </row>
    <row r="679" ht="15.75" customHeight="1">
      <c r="B679" s="49"/>
      <c r="D679" s="49"/>
    </row>
    <row r="680" ht="15.75" customHeight="1">
      <c r="B680" s="49"/>
      <c r="D680" s="49"/>
    </row>
    <row r="681" ht="15.75" customHeight="1">
      <c r="B681" s="49"/>
      <c r="D681" s="49"/>
    </row>
    <row r="682" ht="15.75" customHeight="1">
      <c r="B682" s="49"/>
      <c r="D682" s="49"/>
    </row>
    <row r="683" ht="15.75" customHeight="1">
      <c r="B683" s="49"/>
      <c r="D683" s="49"/>
    </row>
    <row r="684" ht="15.75" customHeight="1">
      <c r="B684" s="49"/>
      <c r="D684" s="49"/>
    </row>
    <row r="685" ht="15.75" customHeight="1">
      <c r="B685" s="49"/>
      <c r="D685" s="49"/>
    </row>
    <row r="686" ht="15.75" customHeight="1">
      <c r="B686" s="49"/>
      <c r="D686" s="49"/>
    </row>
    <row r="687" ht="15.75" customHeight="1">
      <c r="B687" s="49"/>
      <c r="D687" s="49"/>
    </row>
    <row r="688" ht="15.75" customHeight="1">
      <c r="B688" s="49"/>
      <c r="D688" s="49"/>
    </row>
    <row r="689" ht="15.75" customHeight="1">
      <c r="B689" s="49"/>
      <c r="D689" s="49"/>
    </row>
    <row r="690" ht="15.75" customHeight="1">
      <c r="B690" s="49"/>
      <c r="D690" s="49"/>
    </row>
    <row r="691" ht="15.75" customHeight="1">
      <c r="B691" s="49"/>
      <c r="D691" s="49"/>
    </row>
    <row r="692" ht="15.75" customHeight="1">
      <c r="B692" s="49"/>
      <c r="D692" s="49"/>
    </row>
    <row r="693" ht="15.75" customHeight="1">
      <c r="B693" s="49"/>
      <c r="D693" s="49"/>
    </row>
    <row r="694" ht="15.75" customHeight="1">
      <c r="B694" s="49"/>
      <c r="D694" s="49"/>
    </row>
    <row r="695" ht="15.75" customHeight="1">
      <c r="B695" s="49"/>
      <c r="D695" s="49"/>
    </row>
    <row r="696" ht="15.75" customHeight="1">
      <c r="B696" s="49"/>
      <c r="D696" s="49"/>
    </row>
    <row r="697" ht="15.75" customHeight="1">
      <c r="B697" s="49"/>
      <c r="D697" s="49"/>
    </row>
    <row r="698" ht="15.75" customHeight="1">
      <c r="B698" s="49"/>
      <c r="D698" s="49"/>
    </row>
    <row r="699" ht="15.75" customHeight="1">
      <c r="B699" s="49"/>
      <c r="D699" s="49"/>
    </row>
    <row r="700" ht="15.75" customHeight="1">
      <c r="B700" s="49"/>
      <c r="D700" s="49"/>
    </row>
    <row r="701" ht="15.75" customHeight="1">
      <c r="B701" s="49"/>
      <c r="D701" s="49"/>
    </row>
    <row r="702" ht="15.75" customHeight="1">
      <c r="B702" s="49"/>
      <c r="D702" s="49"/>
    </row>
    <row r="703" ht="15.75" customHeight="1">
      <c r="B703" s="49"/>
      <c r="D703" s="49"/>
    </row>
    <row r="704" ht="15.75" customHeight="1">
      <c r="B704" s="49"/>
      <c r="D704" s="49"/>
    </row>
    <row r="705" ht="15.75" customHeight="1">
      <c r="B705" s="49"/>
      <c r="D705" s="49"/>
    </row>
    <row r="706" ht="15.75" customHeight="1">
      <c r="B706" s="49"/>
      <c r="D706" s="49"/>
    </row>
    <row r="707" ht="15.75" customHeight="1">
      <c r="B707" s="49"/>
      <c r="D707" s="49"/>
    </row>
    <row r="708" ht="15.75" customHeight="1">
      <c r="B708" s="49"/>
      <c r="D708" s="49"/>
    </row>
    <row r="709" ht="15.75" customHeight="1">
      <c r="B709" s="49"/>
      <c r="D709" s="49"/>
    </row>
    <row r="710" ht="15.75" customHeight="1">
      <c r="B710" s="49"/>
      <c r="D710" s="49"/>
    </row>
    <row r="711" ht="15.75" customHeight="1">
      <c r="B711" s="49"/>
      <c r="D711" s="49"/>
    </row>
    <row r="712" ht="15.75" customHeight="1">
      <c r="B712" s="49"/>
      <c r="D712" s="49"/>
    </row>
    <row r="713" ht="15.75" customHeight="1">
      <c r="B713" s="49"/>
      <c r="D713" s="49"/>
    </row>
    <row r="714" ht="15.75" customHeight="1">
      <c r="B714" s="49"/>
      <c r="D714" s="49"/>
    </row>
    <row r="715" ht="15.75" customHeight="1">
      <c r="B715" s="49"/>
      <c r="D715" s="49"/>
    </row>
    <row r="716" ht="15.75" customHeight="1">
      <c r="B716" s="49"/>
      <c r="D716" s="49"/>
    </row>
    <row r="717" ht="15.75" customHeight="1">
      <c r="B717" s="49"/>
      <c r="D717" s="49"/>
    </row>
    <row r="718" ht="15.75" customHeight="1">
      <c r="B718" s="49"/>
      <c r="D718" s="49"/>
    </row>
    <row r="719" ht="15.75" customHeight="1">
      <c r="B719" s="49"/>
      <c r="D719" s="49"/>
    </row>
    <row r="720" ht="15.75" customHeight="1">
      <c r="B720" s="49"/>
      <c r="D720" s="49"/>
    </row>
    <row r="721" ht="15.75" customHeight="1">
      <c r="B721" s="49"/>
      <c r="D721" s="49"/>
    </row>
    <row r="722" ht="15.75" customHeight="1">
      <c r="B722" s="49"/>
      <c r="D722" s="49"/>
    </row>
    <row r="723" ht="15.75" customHeight="1">
      <c r="B723" s="49"/>
      <c r="D723" s="49"/>
    </row>
    <row r="724" ht="15.75" customHeight="1">
      <c r="B724" s="49"/>
      <c r="D724" s="49"/>
    </row>
    <row r="725" ht="15.75" customHeight="1">
      <c r="B725" s="49"/>
      <c r="D725" s="49"/>
    </row>
    <row r="726" ht="15.75" customHeight="1">
      <c r="B726" s="49"/>
      <c r="D726" s="49"/>
    </row>
    <row r="727" ht="15.75" customHeight="1">
      <c r="B727" s="49"/>
      <c r="D727" s="49"/>
    </row>
    <row r="728" ht="15.75" customHeight="1">
      <c r="B728" s="49"/>
      <c r="D728" s="49"/>
    </row>
    <row r="729" ht="15.75" customHeight="1">
      <c r="B729" s="49"/>
      <c r="D729" s="49"/>
    </row>
    <row r="730" ht="15.75" customHeight="1">
      <c r="B730" s="49"/>
      <c r="D730" s="49"/>
    </row>
    <row r="731" ht="15.75" customHeight="1">
      <c r="B731" s="49"/>
      <c r="D731" s="49"/>
    </row>
    <row r="732" ht="15.75" customHeight="1">
      <c r="B732" s="49"/>
      <c r="D732" s="49"/>
    </row>
    <row r="733" ht="15.75" customHeight="1">
      <c r="B733" s="49"/>
      <c r="D733" s="49"/>
    </row>
    <row r="734" ht="15.75" customHeight="1">
      <c r="B734" s="49"/>
      <c r="D734" s="49"/>
    </row>
    <row r="735" ht="15.75" customHeight="1">
      <c r="B735" s="49"/>
      <c r="D735" s="49"/>
    </row>
    <row r="736" ht="15.75" customHeight="1">
      <c r="B736" s="49"/>
      <c r="D736" s="49"/>
    </row>
    <row r="737" ht="15.75" customHeight="1">
      <c r="B737" s="49"/>
      <c r="D737" s="49"/>
    </row>
    <row r="738" ht="15.75" customHeight="1">
      <c r="B738" s="49"/>
      <c r="D738" s="49"/>
    </row>
    <row r="739" ht="15.75" customHeight="1">
      <c r="B739" s="49"/>
      <c r="D739" s="49"/>
    </row>
    <row r="740" ht="15.75" customHeight="1">
      <c r="B740" s="49"/>
      <c r="D740" s="49"/>
    </row>
    <row r="741" ht="15.75" customHeight="1">
      <c r="B741" s="49"/>
      <c r="D741" s="49"/>
    </row>
    <row r="742" ht="15.75" customHeight="1">
      <c r="B742" s="49"/>
      <c r="D742" s="49"/>
    </row>
    <row r="743" ht="15.75" customHeight="1">
      <c r="B743" s="49"/>
      <c r="D743" s="49"/>
    </row>
    <row r="744" ht="15.75" customHeight="1">
      <c r="B744" s="49"/>
      <c r="D744" s="49"/>
    </row>
    <row r="745" ht="15.75" customHeight="1">
      <c r="B745" s="49"/>
      <c r="D745" s="49"/>
    </row>
    <row r="746" ht="15.75" customHeight="1">
      <c r="B746" s="49"/>
      <c r="D746" s="49"/>
    </row>
    <row r="747" ht="15.75" customHeight="1">
      <c r="B747" s="49"/>
      <c r="D747" s="49"/>
    </row>
    <row r="748" ht="15.75" customHeight="1">
      <c r="B748" s="49"/>
      <c r="D748" s="49"/>
    </row>
    <row r="749" ht="15.75" customHeight="1">
      <c r="B749" s="49"/>
      <c r="D749" s="49"/>
    </row>
    <row r="750" ht="15.75" customHeight="1">
      <c r="B750" s="49"/>
      <c r="D750" s="49"/>
    </row>
    <row r="751" ht="15.75" customHeight="1">
      <c r="B751" s="49"/>
      <c r="D751" s="49"/>
    </row>
    <row r="752" ht="15.75" customHeight="1">
      <c r="B752" s="49"/>
      <c r="D752" s="49"/>
    </row>
    <row r="753" ht="15.75" customHeight="1">
      <c r="B753" s="49"/>
      <c r="D753" s="49"/>
    </row>
    <row r="754" ht="15.75" customHeight="1">
      <c r="B754" s="49"/>
      <c r="D754" s="49"/>
    </row>
    <row r="755" ht="15.75" customHeight="1">
      <c r="B755" s="49"/>
      <c r="D755" s="49"/>
    </row>
    <row r="756" ht="15.75" customHeight="1">
      <c r="B756" s="49"/>
      <c r="D756" s="49"/>
    </row>
    <row r="757" ht="15.75" customHeight="1">
      <c r="B757" s="49"/>
      <c r="D757" s="49"/>
    </row>
    <row r="758" ht="15.75" customHeight="1">
      <c r="B758" s="49"/>
      <c r="D758" s="49"/>
    </row>
    <row r="759" ht="15.75" customHeight="1">
      <c r="B759" s="49"/>
      <c r="D759" s="49"/>
    </row>
    <row r="760" ht="15.75" customHeight="1">
      <c r="B760" s="49"/>
      <c r="D760" s="49"/>
    </row>
    <row r="761" ht="15.75" customHeight="1">
      <c r="B761" s="49"/>
      <c r="D761" s="49"/>
    </row>
    <row r="762" ht="15.75" customHeight="1">
      <c r="B762" s="49"/>
      <c r="D762" s="49"/>
    </row>
    <row r="763" ht="15.75" customHeight="1">
      <c r="B763" s="49"/>
      <c r="D763" s="49"/>
    </row>
    <row r="764" ht="15.75" customHeight="1">
      <c r="B764" s="49"/>
      <c r="D764" s="49"/>
    </row>
    <row r="765" ht="15.75" customHeight="1">
      <c r="B765" s="49"/>
      <c r="D765" s="49"/>
    </row>
    <row r="766" ht="15.75" customHeight="1">
      <c r="B766" s="49"/>
      <c r="D766" s="49"/>
    </row>
    <row r="767" ht="15.75" customHeight="1">
      <c r="B767" s="49"/>
      <c r="D767" s="49"/>
    </row>
    <row r="768" ht="15.75" customHeight="1">
      <c r="B768" s="49"/>
      <c r="D768" s="49"/>
    </row>
    <row r="769" ht="15.75" customHeight="1">
      <c r="B769" s="49"/>
      <c r="D769" s="49"/>
    </row>
    <row r="770" ht="15.75" customHeight="1">
      <c r="B770" s="49"/>
      <c r="D770" s="49"/>
    </row>
    <row r="771" ht="15.75" customHeight="1">
      <c r="B771" s="49"/>
      <c r="D771" s="49"/>
    </row>
    <row r="772" ht="15.75" customHeight="1">
      <c r="B772" s="49"/>
      <c r="D772" s="49"/>
    </row>
    <row r="773" ht="15.75" customHeight="1">
      <c r="B773" s="49"/>
      <c r="D773" s="49"/>
    </row>
    <row r="774" ht="15.75" customHeight="1">
      <c r="B774" s="49"/>
      <c r="D774" s="49"/>
    </row>
    <row r="775" ht="15.75" customHeight="1">
      <c r="B775" s="49"/>
      <c r="D775" s="49"/>
    </row>
    <row r="776" ht="15.75" customHeight="1">
      <c r="B776" s="49"/>
      <c r="D776" s="49"/>
    </row>
    <row r="777" ht="15.75" customHeight="1">
      <c r="B777" s="49"/>
      <c r="D777" s="49"/>
    </row>
    <row r="778" ht="15.75" customHeight="1">
      <c r="B778" s="49"/>
      <c r="D778" s="49"/>
    </row>
    <row r="779" ht="15.75" customHeight="1">
      <c r="B779" s="49"/>
      <c r="D779" s="49"/>
    </row>
    <row r="780" ht="15.75" customHeight="1">
      <c r="B780" s="49"/>
      <c r="D780" s="49"/>
    </row>
    <row r="781" ht="15.75" customHeight="1">
      <c r="B781" s="49"/>
      <c r="D781" s="49"/>
    </row>
    <row r="782" ht="15.75" customHeight="1">
      <c r="B782" s="49"/>
      <c r="D782" s="49"/>
    </row>
    <row r="783" ht="15.75" customHeight="1">
      <c r="B783" s="49"/>
      <c r="D783" s="49"/>
    </row>
    <row r="784" ht="15.75" customHeight="1">
      <c r="B784" s="49"/>
      <c r="D784" s="49"/>
    </row>
    <row r="785" ht="15.75" customHeight="1">
      <c r="B785" s="49"/>
      <c r="D785" s="49"/>
    </row>
    <row r="786" ht="15.75" customHeight="1">
      <c r="B786" s="49"/>
      <c r="D786" s="49"/>
    </row>
    <row r="787" ht="15.75" customHeight="1">
      <c r="B787" s="49"/>
      <c r="D787" s="49"/>
    </row>
    <row r="788" ht="15.75" customHeight="1">
      <c r="B788" s="49"/>
      <c r="D788" s="49"/>
    </row>
    <row r="789" ht="15.75" customHeight="1">
      <c r="B789" s="49"/>
      <c r="D789" s="49"/>
    </row>
    <row r="790" ht="15.75" customHeight="1">
      <c r="B790" s="49"/>
      <c r="D790" s="49"/>
    </row>
    <row r="791" ht="15.75" customHeight="1">
      <c r="B791" s="49"/>
      <c r="D791" s="49"/>
    </row>
    <row r="792" ht="15.75" customHeight="1">
      <c r="B792" s="49"/>
      <c r="D792" s="49"/>
    </row>
    <row r="793" ht="15.75" customHeight="1">
      <c r="B793" s="49"/>
      <c r="D793" s="49"/>
    </row>
    <row r="794" ht="15.75" customHeight="1">
      <c r="B794" s="49"/>
      <c r="D794" s="49"/>
    </row>
    <row r="795" ht="15.75" customHeight="1">
      <c r="B795" s="49"/>
      <c r="D795" s="49"/>
    </row>
    <row r="796" ht="15.75" customHeight="1">
      <c r="B796" s="49"/>
      <c r="D796" s="49"/>
    </row>
    <row r="797" ht="15.75" customHeight="1">
      <c r="B797" s="49"/>
      <c r="D797" s="49"/>
    </row>
    <row r="798" ht="15.75" customHeight="1">
      <c r="B798" s="49"/>
      <c r="D798" s="49"/>
    </row>
    <row r="799" ht="15.75" customHeight="1">
      <c r="B799" s="49"/>
      <c r="D799" s="49"/>
    </row>
    <row r="800" ht="15.75" customHeight="1">
      <c r="B800" s="49"/>
      <c r="D800" s="49"/>
    </row>
    <row r="801" ht="15.75" customHeight="1">
      <c r="B801" s="49"/>
      <c r="D801" s="49"/>
    </row>
    <row r="802" ht="15.75" customHeight="1">
      <c r="B802" s="49"/>
      <c r="D802" s="49"/>
    </row>
    <row r="803" ht="15.75" customHeight="1">
      <c r="B803" s="49"/>
      <c r="D803" s="49"/>
    </row>
    <row r="804" ht="15.75" customHeight="1">
      <c r="B804" s="49"/>
      <c r="D804" s="49"/>
    </row>
    <row r="805" ht="15.75" customHeight="1">
      <c r="B805" s="49"/>
      <c r="D805" s="49"/>
    </row>
    <row r="806" ht="15.75" customHeight="1">
      <c r="B806" s="49"/>
      <c r="D806" s="49"/>
    </row>
    <row r="807" ht="15.75" customHeight="1">
      <c r="B807" s="49"/>
      <c r="D807" s="49"/>
    </row>
    <row r="808" ht="15.75" customHeight="1">
      <c r="B808" s="49"/>
      <c r="D808" s="49"/>
    </row>
    <row r="809" ht="15.75" customHeight="1">
      <c r="B809" s="49"/>
      <c r="D809" s="49"/>
    </row>
    <row r="810" ht="15.75" customHeight="1">
      <c r="B810" s="49"/>
      <c r="D810" s="49"/>
    </row>
    <row r="811" ht="15.75" customHeight="1">
      <c r="B811" s="49"/>
      <c r="D811" s="49"/>
    </row>
    <row r="812" ht="15.75" customHeight="1">
      <c r="B812" s="49"/>
      <c r="D812" s="49"/>
    </row>
    <row r="813" ht="15.75" customHeight="1">
      <c r="B813" s="49"/>
      <c r="D813" s="49"/>
    </row>
    <row r="814" ht="15.75" customHeight="1">
      <c r="B814" s="49"/>
      <c r="D814" s="49"/>
    </row>
    <row r="815" ht="15.75" customHeight="1">
      <c r="B815" s="49"/>
      <c r="D815" s="49"/>
    </row>
    <row r="816" ht="15.75" customHeight="1">
      <c r="B816" s="49"/>
      <c r="D816" s="49"/>
    </row>
    <row r="817" ht="15.75" customHeight="1">
      <c r="B817" s="49"/>
      <c r="D817" s="49"/>
    </row>
    <row r="818" ht="15.75" customHeight="1">
      <c r="B818" s="49"/>
      <c r="D818" s="49"/>
    </row>
    <row r="819" ht="15.75" customHeight="1">
      <c r="B819" s="49"/>
      <c r="D819" s="49"/>
    </row>
    <row r="820" ht="15.75" customHeight="1">
      <c r="B820" s="49"/>
      <c r="D820" s="49"/>
    </row>
    <row r="821" ht="15.75" customHeight="1">
      <c r="B821" s="49"/>
      <c r="D821" s="49"/>
    </row>
    <row r="822" ht="15.75" customHeight="1">
      <c r="B822" s="49"/>
      <c r="D822" s="49"/>
    </row>
    <row r="823" ht="15.75" customHeight="1">
      <c r="B823" s="49"/>
      <c r="D823" s="49"/>
    </row>
    <row r="824" ht="15.75" customHeight="1">
      <c r="B824" s="49"/>
      <c r="D824" s="49"/>
    </row>
    <row r="825" ht="15.75" customHeight="1">
      <c r="B825" s="49"/>
      <c r="D825" s="49"/>
    </row>
    <row r="826" ht="15.75" customHeight="1">
      <c r="B826" s="49"/>
      <c r="D826" s="49"/>
    </row>
    <row r="827" ht="15.75" customHeight="1">
      <c r="B827" s="49"/>
      <c r="D827" s="49"/>
    </row>
    <row r="828" ht="15.75" customHeight="1">
      <c r="B828" s="49"/>
      <c r="D828" s="49"/>
    </row>
    <row r="829" ht="15.75" customHeight="1">
      <c r="B829" s="49"/>
      <c r="D829" s="49"/>
    </row>
    <row r="830" ht="15.75" customHeight="1">
      <c r="B830" s="49"/>
      <c r="D830" s="49"/>
    </row>
    <row r="831" ht="15.75" customHeight="1">
      <c r="B831" s="49"/>
      <c r="D831" s="49"/>
    </row>
    <row r="832" ht="15.75" customHeight="1">
      <c r="B832" s="49"/>
      <c r="D832" s="49"/>
    </row>
    <row r="833" ht="15.75" customHeight="1">
      <c r="B833" s="49"/>
      <c r="D833" s="49"/>
    </row>
    <row r="834" ht="15.75" customHeight="1">
      <c r="B834" s="49"/>
      <c r="D834" s="49"/>
    </row>
    <row r="835" ht="15.75" customHeight="1">
      <c r="B835" s="49"/>
      <c r="D835" s="49"/>
    </row>
    <row r="836" ht="15.75" customHeight="1">
      <c r="B836" s="49"/>
      <c r="D836" s="49"/>
    </row>
    <row r="837" ht="15.75" customHeight="1">
      <c r="B837" s="49"/>
      <c r="D837" s="49"/>
    </row>
    <row r="838" ht="15.75" customHeight="1">
      <c r="B838" s="49"/>
      <c r="D838" s="49"/>
    </row>
    <row r="839" ht="15.75" customHeight="1">
      <c r="B839" s="49"/>
      <c r="D839" s="49"/>
    </row>
    <row r="840" ht="15.75" customHeight="1">
      <c r="B840" s="49"/>
      <c r="D840" s="49"/>
    </row>
    <row r="841" ht="15.75" customHeight="1">
      <c r="B841" s="49"/>
      <c r="D841" s="49"/>
    </row>
    <row r="842" ht="15.75" customHeight="1">
      <c r="B842" s="49"/>
      <c r="D842" s="49"/>
    </row>
    <row r="843" ht="15.75" customHeight="1">
      <c r="B843" s="49"/>
      <c r="D843" s="49"/>
    </row>
    <row r="844" ht="15.75" customHeight="1">
      <c r="B844" s="49"/>
      <c r="D844" s="49"/>
    </row>
    <row r="845" ht="15.75" customHeight="1">
      <c r="B845" s="49"/>
      <c r="D845" s="49"/>
    </row>
    <row r="846" ht="15.75" customHeight="1">
      <c r="B846" s="49"/>
      <c r="D846" s="49"/>
    </row>
    <row r="847" ht="15.75" customHeight="1">
      <c r="B847" s="49"/>
      <c r="D847" s="49"/>
    </row>
    <row r="848" ht="15.75" customHeight="1">
      <c r="B848" s="49"/>
      <c r="D848" s="49"/>
    </row>
    <row r="849" ht="15.75" customHeight="1">
      <c r="B849" s="49"/>
      <c r="D849" s="49"/>
    </row>
    <row r="850" ht="15.75" customHeight="1">
      <c r="B850" s="49"/>
      <c r="D850" s="49"/>
    </row>
    <row r="851" ht="15.75" customHeight="1">
      <c r="B851" s="49"/>
      <c r="D851" s="49"/>
    </row>
    <row r="852" ht="15.75" customHeight="1">
      <c r="B852" s="49"/>
      <c r="D852" s="49"/>
    </row>
    <row r="853" ht="15.75" customHeight="1">
      <c r="B853" s="49"/>
      <c r="D853" s="49"/>
    </row>
    <row r="854" ht="15.75" customHeight="1">
      <c r="B854" s="49"/>
      <c r="D854" s="49"/>
    </row>
    <row r="855" ht="15.75" customHeight="1">
      <c r="B855" s="49"/>
      <c r="D855" s="49"/>
    </row>
    <row r="856" ht="15.75" customHeight="1">
      <c r="B856" s="49"/>
      <c r="D856" s="49"/>
    </row>
    <row r="857" ht="15.75" customHeight="1">
      <c r="B857" s="49"/>
      <c r="D857" s="49"/>
    </row>
    <row r="858" ht="15.75" customHeight="1">
      <c r="B858" s="49"/>
      <c r="D858" s="49"/>
    </row>
    <row r="859" ht="15.75" customHeight="1">
      <c r="B859" s="49"/>
      <c r="D859" s="49"/>
    </row>
    <row r="860" ht="15.75" customHeight="1">
      <c r="B860" s="49"/>
      <c r="D860" s="49"/>
    </row>
    <row r="861" ht="15.75" customHeight="1">
      <c r="B861" s="49"/>
      <c r="D861" s="49"/>
    </row>
    <row r="862" ht="15.75" customHeight="1">
      <c r="B862" s="49"/>
      <c r="D862" s="49"/>
    </row>
    <row r="863" ht="15.75" customHeight="1">
      <c r="B863" s="49"/>
      <c r="D863" s="49"/>
    </row>
    <row r="864" ht="15.75" customHeight="1">
      <c r="B864" s="49"/>
      <c r="D864" s="49"/>
    </row>
    <row r="865" ht="15.75" customHeight="1">
      <c r="B865" s="49"/>
      <c r="D865" s="49"/>
    </row>
    <row r="866" ht="15.75" customHeight="1">
      <c r="B866" s="49"/>
      <c r="D866" s="49"/>
    </row>
    <row r="867" ht="15.75" customHeight="1">
      <c r="B867" s="49"/>
      <c r="D867" s="49"/>
    </row>
    <row r="868" ht="15.75" customHeight="1">
      <c r="B868" s="49"/>
      <c r="D868" s="49"/>
    </row>
    <row r="869" ht="15.75" customHeight="1">
      <c r="B869" s="49"/>
      <c r="D869" s="49"/>
    </row>
    <row r="870" ht="15.75" customHeight="1">
      <c r="B870" s="49"/>
      <c r="D870" s="49"/>
    </row>
    <row r="871" ht="15.75" customHeight="1">
      <c r="B871" s="49"/>
      <c r="D871" s="49"/>
    </row>
    <row r="872" ht="15.75" customHeight="1">
      <c r="B872" s="49"/>
      <c r="D872" s="49"/>
    </row>
    <row r="873" ht="15.75" customHeight="1">
      <c r="B873" s="49"/>
      <c r="D873" s="49"/>
    </row>
    <row r="874" ht="15.75" customHeight="1">
      <c r="B874" s="49"/>
      <c r="D874" s="49"/>
    </row>
    <row r="875" ht="15.75" customHeight="1">
      <c r="B875" s="49"/>
      <c r="D875" s="49"/>
    </row>
    <row r="876" ht="15.75" customHeight="1">
      <c r="B876" s="49"/>
      <c r="D876" s="49"/>
    </row>
    <row r="877" ht="15.75" customHeight="1">
      <c r="B877" s="49"/>
      <c r="D877" s="49"/>
    </row>
    <row r="878" ht="15.75" customHeight="1">
      <c r="B878" s="49"/>
      <c r="D878" s="49"/>
    </row>
    <row r="879" ht="15.75" customHeight="1">
      <c r="B879" s="49"/>
      <c r="D879" s="49"/>
    </row>
    <row r="880" ht="15.75" customHeight="1">
      <c r="B880" s="49"/>
      <c r="D880" s="49"/>
    </row>
    <row r="881" ht="15.75" customHeight="1">
      <c r="B881" s="49"/>
      <c r="D881" s="49"/>
    </row>
    <row r="882" ht="15.75" customHeight="1">
      <c r="B882" s="49"/>
      <c r="D882" s="49"/>
    </row>
    <row r="883" ht="15.75" customHeight="1">
      <c r="B883" s="49"/>
      <c r="D883" s="49"/>
    </row>
    <row r="884" ht="15.75" customHeight="1">
      <c r="B884" s="49"/>
      <c r="D884" s="49"/>
    </row>
    <row r="885" ht="15.75" customHeight="1">
      <c r="B885" s="49"/>
      <c r="D885" s="49"/>
    </row>
    <row r="886" ht="15.75" customHeight="1">
      <c r="B886" s="49"/>
      <c r="D886" s="49"/>
    </row>
    <row r="887" ht="15.75" customHeight="1">
      <c r="B887" s="49"/>
      <c r="D887" s="49"/>
    </row>
    <row r="888" ht="15.75" customHeight="1">
      <c r="B888" s="49"/>
      <c r="D888" s="49"/>
    </row>
    <row r="889" ht="15.75" customHeight="1">
      <c r="B889" s="49"/>
      <c r="D889" s="49"/>
    </row>
    <row r="890" ht="15.75" customHeight="1">
      <c r="B890" s="49"/>
      <c r="D890" s="49"/>
    </row>
    <row r="891" ht="15.75" customHeight="1">
      <c r="B891" s="49"/>
      <c r="D891" s="49"/>
    </row>
    <row r="892" ht="15.75" customHeight="1">
      <c r="B892" s="49"/>
      <c r="D892" s="49"/>
    </row>
    <row r="893" ht="15.75" customHeight="1">
      <c r="B893" s="49"/>
      <c r="D893" s="49"/>
    </row>
    <row r="894" ht="15.75" customHeight="1">
      <c r="B894" s="49"/>
      <c r="D894" s="49"/>
    </row>
    <row r="895" ht="15.75" customHeight="1">
      <c r="B895" s="49"/>
      <c r="D895" s="49"/>
    </row>
    <row r="896" ht="15.75" customHeight="1">
      <c r="B896" s="49"/>
      <c r="D896" s="49"/>
    </row>
    <row r="897" ht="15.75" customHeight="1">
      <c r="B897" s="49"/>
      <c r="D897" s="49"/>
    </row>
    <row r="898" ht="15.75" customHeight="1">
      <c r="B898" s="49"/>
      <c r="D898" s="49"/>
    </row>
    <row r="899" ht="15.75" customHeight="1">
      <c r="B899" s="49"/>
      <c r="D899" s="49"/>
    </row>
    <row r="900" ht="15.75" customHeight="1">
      <c r="B900" s="49"/>
      <c r="D900" s="49"/>
    </row>
    <row r="901" ht="15.75" customHeight="1">
      <c r="B901" s="49"/>
      <c r="D901" s="49"/>
    </row>
    <row r="902" ht="15.75" customHeight="1">
      <c r="B902" s="49"/>
      <c r="D902" s="49"/>
    </row>
    <row r="903" ht="15.75" customHeight="1">
      <c r="B903" s="49"/>
      <c r="D903" s="49"/>
    </row>
    <row r="904" ht="15.75" customHeight="1">
      <c r="B904" s="49"/>
      <c r="D904" s="49"/>
    </row>
    <row r="905" ht="15.75" customHeight="1">
      <c r="B905" s="49"/>
      <c r="D905" s="49"/>
    </row>
    <row r="906" ht="15.75" customHeight="1">
      <c r="B906" s="49"/>
      <c r="D906" s="49"/>
    </row>
    <row r="907" ht="15.75" customHeight="1">
      <c r="B907" s="49"/>
      <c r="D907" s="49"/>
    </row>
    <row r="908" ht="15.75" customHeight="1">
      <c r="B908" s="49"/>
      <c r="D908" s="49"/>
    </row>
    <row r="909" ht="15.75" customHeight="1">
      <c r="B909" s="49"/>
      <c r="D909" s="49"/>
    </row>
    <row r="910" ht="15.75" customHeight="1">
      <c r="B910" s="49"/>
      <c r="D910" s="49"/>
    </row>
    <row r="911" ht="15.75" customHeight="1">
      <c r="B911" s="49"/>
      <c r="D911" s="49"/>
    </row>
    <row r="912" ht="15.75" customHeight="1">
      <c r="B912" s="49"/>
      <c r="D912" s="49"/>
    </row>
    <row r="913" ht="15.75" customHeight="1">
      <c r="B913" s="49"/>
      <c r="D913" s="49"/>
    </row>
    <row r="914" ht="15.75" customHeight="1">
      <c r="B914" s="49"/>
      <c r="D914" s="49"/>
    </row>
    <row r="915" ht="15.75" customHeight="1">
      <c r="B915" s="49"/>
      <c r="D915" s="49"/>
    </row>
    <row r="916" ht="15.75" customHeight="1">
      <c r="B916" s="49"/>
      <c r="D916" s="49"/>
    </row>
    <row r="917" ht="15.75" customHeight="1">
      <c r="B917" s="49"/>
      <c r="D917" s="49"/>
    </row>
    <row r="918" ht="15.75" customHeight="1">
      <c r="B918" s="49"/>
      <c r="D918" s="49"/>
    </row>
    <row r="919" ht="15.75" customHeight="1">
      <c r="B919" s="49"/>
      <c r="D919" s="49"/>
    </row>
    <row r="920" ht="15.75" customHeight="1">
      <c r="B920" s="49"/>
      <c r="D920" s="49"/>
    </row>
    <row r="921" ht="15.75" customHeight="1">
      <c r="B921" s="49"/>
      <c r="D921" s="49"/>
    </row>
    <row r="922" ht="15.75" customHeight="1">
      <c r="B922" s="49"/>
      <c r="D922" s="49"/>
    </row>
    <row r="923" ht="15.75" customHeight="1">
      <c r="B923" s="49"/>
      <c r="D923" s="49"/>
    </row>
    <row r="924" ht="15.75" customHeight="1">
      <c r="B924" s="49"/>
      <c r="D924" s="49"/>
    </row>
    <row r="925" ht="15.75" customHeight="1">
      <c r="B925" s="49"/>
      <c r="D925" s="49"/>
    </row>
    <row r="926" ht="15.75" customHeight="1">
      <c r="B926" s="49"/>
      <c r="D926" s="49"/>
    </row>
    <row r="927" ht="15.75" customHeight="1">
      <c r="B927" s="49"/>
      <c r="D927" s="49"/>
    </row>
    <row r="928" ht="15.75" customHeight="1">
      <c r="B928" s="49"/>
      <c r="D928" s="49"/>
    </row>
    <row r="929" ht="15.75" customHeight="1">
      <c r="B929" s="49"/>
      <c r="D929" s="49"/>
    </row>
    <row r="930" ht="15.75" customHeight="1">
      <c r="B930" s="49"/>
      <c r="D930" s="49"/>
    </row>
    <row r="931" ht="15.75" customHeight="1">
      <c r="B931" s="49"/>
      <c r="D931" s="49"/>
    </row>
    <row r="932" ht="15.75" customHeight="1">
      <c r="B932" s="49"/>
      <c r="D932" s="49"/>
    </row>
    <row r="933" ht="15.75" customHeight="1">
      <c r="B933" s="49"/>
      <c r="D933" s="49"/>
    </row>
    <row r="934" ht="15.75" customHeight="1">
      <c r="B934" s="49"/>
      <c r="D934" s="49"/>
    </row>
    <row r="935" ht="15.75" customHeight="1">
      <c r="B935" s="49"/>
      <c r="D935" s="49"/>
    </row>
    <row r="936" ht="15.75" customHeight="1">
      <c r="B936" s="49"/>
      <c r="D936" s="49"/>
    </row>
    <row r="937" ht="15.75" customHeight="1">
      <c r="B937" s="49"/>
      <c r="D937" s="49"/>
    </row>
    <row r="938" ht="15.75" customHeight="1">
      <c r="B938" s="49"/>
      <c r="D938" s="49"/>
    </row>
    <row r="939" ht="15.75" customHeight="1">
      <c r="B939" s="49"/>
      <c r="D939" s="49"/>
    </row>
    <row r="940" ht="15.75" customHeight="1">
      <c r="B940" s="49"/>
      <c r="D940" s="49"/>
    </row>
    <row r="941" ht="15.75" customHeight="1">
      <c r="B941" s="49"/>
      <c r="D941" s="49"/>
    </row>
    <row r="942" ht="15.75" customHeight="1">
      <c r="B942" s="49"/>
      <c r="D942" s="49"/>
    </row>
    <row r="943" ht="15.75" customHeight="1">
      <c r="B943" s="49"/>
      <c r="D943" s="49"/>
    </row>
    <row r="944" ht="15.75" customHeight="1">
      <c r="B944" s="49"/>
      <c r="D944" s="49"/>
    </row>
    <row r="945" ht="15.75" customHeight="1">
      <c r="B945" s="49"/>
      <c r="D945" s="49"/>
    </row>
    <row r="946" ht="15.75" customHeight="1">
      <c r="B946" s="49"/>
      <c r="D946" s="49"/>
    </row>
    <row r="947" ht="15.75" customHeight="1">
      <c r="B947" s="49"/>
      <c r="D947" s="49"/>
    </row>
    <row r="948" ht="15.75" customHeight="1">
      <c r="B948" s="49"/>
      <c r="D948" s="49"/>
    </row>
    <row r="949" ht="15.75" customHeight="1">
      <c r="B949" s="49"/>
      <c r="D949" s="49"/>
    </row>
    <row r="950" ht="15.75" customHeight="1">
      <c r="B950" s="49"/>
      <c r="D950" s="49"/>
    </row>
    <row r="951" ht="15.75" customHeight="1">
      <c r="B951" s="49"/>
      <c r="D951" s="49"/>
    </row>
    <row r="952" ht="15.75" customHeight="1">
      <c r="B952" s="49"/>
      <c r="D952" s="49"/>
    </row>
    <row r="953" ht="15.75" customHeight="1">
      <c r="B953" s="49"/>
      <c r="D953" s="49"/>
    </row>
    <row r="954" ht="15.75" customHeight="1">
      <c r="B954" s="49"/>
      <c r="D954" s="49"/>
    </row>
    <row r="955" ht="15.75" customHeight="1">
      <c r="B955" s="49"/>
      <c r="D955" s="49"/>
    </row>
    <row r="956" ht="15.75" customHeight="1">
      <c r="B956" s="49"/>
      <c r="D956" s="49"/>
    </row>
    <row r="957" ht="15.75" customHeight="1">
      <c r="B957" s="49"/>
      <c r="D957" s="49"/>
    </row>
    <row r="958" ht="15.75" customHeight="1">
      <c r="B958" s="49"/>
      <c r="D958" s="49"/>
    </row>
    <row r="959" ht="15.75" customHeight="1">
      <c r="B959" s="49"/>
      <c r="D959" s="49"/>
    </row>
    <row r="960" ht="15.75" customHeight="1">
      <c r="B960" s="49"/>
      <c r="D960" s="49"/>
    </row>
    <row r="961" ht="15.75" customHeight="1">
      <c r="B961" s="49"/>
      <c r="D961" s="49"/>
    </row>
    <row r="962" ht="15.75" customHeight="1">
      <c r="B962" s="49"/>
      <c r="D962" s="49"/>
    </row>
    <row r="963" ht="15.75" customHeight="1">
      <c r="B963" s="49"/>
      <c r="D963" s="49"/>
    </row>
    <row r="964" ht="15.75" customHeight="1">
      <c r="B964" s="49"/>
      <c r="D964" s="49"/>
    </row>
    <row r="965" ht="15.75" customHeight="1">
      <c r="B965" s="49"/>
      <c r="D965" s="49"/>
    </row>
    <row r="966" ht="15.75" customHeight="1">
      <c r="B966" s="49"/>
      <c r="D966" s="49"/>
    </row>
    <row r="967" ht="15.75" customHeight="1">
      <c r="B967" s="49"/>
      <c r="D967" s="49"/>
    </row>
    <row r="968" ht="15.75" customHeight="1">
      <c r="B968" s="49"/>
      <c r="D968" s="49"/>
    </row>
    <row r="969" ht="15.75" customHeight="1">
      <c r="B969" s="49"/>
      <c r="D969" s="49"/>
    </row>
    <row r="970" ht="15.75" customHeight="1">
      <c r="B970" s="49"/>
      <c r="D970" s="49"/>
    </row>
    <row r="971" ht="15.75" customHeight="1">
      <c r="B971" s="49"/>
      <c r="D971" s="49"/>
    </row>
    <row r="972" ht="15.75" customHeight="1">
      <c r="B972" s="49"/>
      <c r="D972" s="49"/>
    </row>
    <row r="973" ht="15.75" customHeight="1">
      <c r="B973" s="49"/>
      <c r="D973" s="49"/>
    </row>
    <row r="974" ht="15.75" customHeight="1">
      <c r="B974" s="49"/>
      <c r="D974" s="49"/>
    </row>
    <row r="975" ht="15.75" customHeight="1">
      <c r="B975" s="49"/>
      <c r="D975" s="49"/>
    </row>
    <row r="976" ht="15.75" customHeight="1">
      <c r="B976" s="49"/>
      <c r="D976" s="49"/>
    </row>
    <row r="977" ht="15.75" customHeight="1">
      <c r="B977" s="49"/>
      <c r="D977" s="49"/>
    </row>
    <row r="978" ht="15.75" customHeight="1">
      <c r="B978" s="49"/>
      <c r="D978" s="49"/>
    </row>
    <row r="979" ht="15.75" customHeight="1">
      <c r="B979" s="49"/>
      <c r="D979" s="49"/>
    </row>
    <row r="980" ht="15.75" customHeight="1">
      <c r="B980" s="49"/>
      <c r="D980" s="49"/>
    </row>
    <row r="981" ht="15.75" customHeight="1">
      <c r="B981" s="49"/>
      <c r="D981" s="49"/>
    </row>
    <row r="982" ht="15.75" customHeight="1">
      <c r="B982" s="49"/>
      <c r="D982" s="49"/>
    </row>
    <row r="983" ht="15.75" customHeight="1">
      <c r="B983" s="49"/>
      <c r="D983" s="49"/>
    </row>
    <row r="984" ht="15.75" customHeight="1">
      <c r="B984" s="49"/>
      <c r="D984" s="49"/>
    </row>
    <row r="985" ht="15.75" customHeight="1">
      <c r="B985" s="49"/>
      <c r="D985" s="49"/>
    </row>
    <row r="986" ht="15.75" customHeight="1">
      <c r="B986" s="49"/>
      <c r="D986" s="49"/>
    </row>
    <row r="987" ht="15.75" customHeight="1">
      <c r="B987" s="49"/>
      <c r="D987" s="49"/>
    </row>
    <row r="988" ht="15.75" customHeight="1">
      <c r="B988" s="49"/>
      <c r="D988" s="49"/>
    </row>
    <row r="989" ht="15.75" customHeight="1">
      <c r="B989" s="49"/>
      <c r="D989" s="49"/>
    </row>
    <row r="990" ht="15.75" customHeight="1">
      <c r="B990" s="49"/>
      <c r="D990" s="49"/>
    </row>
    <row r="991" ht="15.75" customHeight="1">
      <c r="B991" s="49"/>
      <c r="D991" s="49"/>
    </row>
    <row r="992" ht="15.75" customHeight="1">
      <c r="B992" s="49"/>
      <c r="D992" s="49"/>
    </row>
    <row r="993" ht="15.75" customHeight="1">
      <c r="B993" s="49"/>
      <c r="D993" s="49"/>
    </row>
    <row r="994" ht="15.75" customHeight="1">
      <c r="B994" s="49"/>
      <c r="D994" s="49"/>
    </row>
    <row r="995" ht="15.75" customHeight="1">
      <c r="B995" s="49"/>
      <c r="D995" s="49"/>
    </row>
    <row r="996" ht="15.75" customHeight="1">
      <c r="B996" s="49"/>
      <c r="D996" s="49"/>
    </row>
    <row r="997" ht="15.75" customHeight="1">
      <c r="B997" s="49"/>
      <c r="D997" s="49"/>
    </row>
    <row r="998" ht="15.75" customHeight="1">
      <c r="B998" s="49"/>
      <c r="D998" s="49"/>
    </row>
    <row r="999" ht="15.75" customHeight="1">
      <c r="B999" s="49"/>
      <c r="D999" s="49"/>
    </row>
    <row r="1000" ht="15.75" customHeight="1">
      <c r="B1000" s="49"/>
      <c r="D1000" s="49"/>
    </row>
  </sheetData>
  <mergeCells count="2">
    <mergeCell ref="A2:D2"/>
    <mergeCell ref="I4:M4"/>
  </mergeCells>
  <printOptions/>
  <pageMargins bottom="0.7480314960629921" footer="0.0" header="0.0" left="0.1968503937007874" right="0.1968503937007874" top="0.7480314960629921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71"/>
    <col customWidth="1" min="3" max="26" width="8.71"/>
  </cols>
  <sheetData>
    <row r="3">
      <c r="B3" s="69" t="s">
        <v>44</v>
      </c>
      <c r="C3" s="70"/>
      <c r="D3" s="70"/>
      <c r="E3" s="71"/>
      <c r="F3" s="8"/>
    </row>
    <row r="4">
      <c r="B4" s="12" t="s">
        <v>4</v>
      </c>
      <c r="C4" s="13" t="s">
        <v>5</v>
      </c>
      <c r="D4" s="15"/>
      <c r="E4" s="15" t="s">
        <v>6</v>
      </c>
      <c r="F4" s="77" t="s">
        <v>8</v>
      </c>
    </row>
    <row r="5">
      <c r="B5" s="23" t="s">
        <v>53</v>
      </c>
      <c r="C5" s="24">
        <v>0.0</v>
      </c>
      <c r="D5" s="29">
        <v>50.0</v>
      </c>
      <c r="E5" s="30">
        <f>C5*50/100</f>
        <v>0</v>
      </c>
      <c r="F5" s="83">
        <f>E5/E21*100</f>
        <v>0</v>
      </c>
    </row>
    <row r="6">
      <c r="B6" s="23" t="s">
        <v>12</v>
      </c>
      <c r="C6" s="24">
        <v>0.0</v>
      </c>
      <c r="D6" s="29">
        <v>30.0</v>
      </c>
      <c r="E6" s="30">
        <f>C6*30/100</f>
        <v>0</v>
      </c>
      <c r="F6" s="87">
        <f>E6/E21*100</f>
        <v>0</v>
      </c>
      <c r="K6" s="35" t="s">
        <v>207</v>
      </c>
      <c r="L6" s="35" t="s">
        <v>208</v>
      </c>
      <c r="M6" s="35" t="s">
        <v>209</v>
      </c>
    </row>
    <row r="7">
      <c r="B7" s="34" t="s">
        <v>14</v>
      </c>
      <c r="C7" s="24">
        <v>0.0</v>
      </c>
      <c r="D7" s="29">
        <v>50.0</v>
      </c>
      <c r="E7" s="30">
        <f t="shared" ref="E7:E9" si="1">C7*50/100</f>
        <v>0</v>
      </c>
      <c r="F7" s="87">
        <f>E7/E21*100</f>
        <v>0</v>
      </c>
      <c r="J7" s="35">
        <v>16.12</v>
      </c>
      <c r="K7" s="35">
        <v>1274.0</v>
      </c>
      <c r="L7" s="35">
        <v>32.0</v>
      </c>
      <c r="M7" s="35">
        <v>649.48</v>
      </c>
    </row>
    <row r="8">
      <c r="B8" s="23" t="s">
        <v>87</v>
      </c>
      <c r="C8" s="24">
        <v>0.0</v>
      </c>
      <c r="D8" s="29">
        <v>50.0</v>
      </c>
      <c r="E8" s="30">
        <f t="shared" si="1"/>
        <v>0</v>
      </c>
      <c r="F8" s="87">
        <f>E8/E21*100</f>
        <v>0</v>
      </c>
      <c r="J8" s="35">
        <v>17.12</v>
      </c>
      <c r="K8" s="35">
        <v>1495.0</v>
      </c>
      <c r="L8" s="35">
        <v>39.0</v>
      </c>
      <c r="M8" s="35">
        <v>762.32</v>
      </c>
    </row>
    <row r="9">
      <c r="B9" s="23" t="s">
        <v>18</v>
      </c>
      <c r="C9" s="24">
        <v>0.0</v>
      </c>
      <c r="D9" s="29">
        <v>50.0</v>
      </c>
      <c r="E9" s="30">
        <f t="shared" si="1"/>
        <v>0</v>
      </c>
      <c r="F9" s="87">
        <f>E9/E21*100</f>
        <v>0</v>
      </c>
    </row>
    <row r="10">
      <c r="B10" s="23" t="s">
        <v>21</v>
      </c>
      <c r="C10" s="24">
        <v>0.0</v>
      </c>
      <c r="D10" s="29">
        <v>30.0</v>
      </c>
      <c r="E10" s="30">
        <f>C10*30/100</f>
        <v>0</v>
      </c>
      <c r="F10" s="87">
        <f>E10/E21*100</f>
        <v>0</v>
      </c>
      <c r="J10" s="35">
        <v>20.12</v>
      </c>
      <c r="K10" s="35">
        <v>985.0</v>
      </c>
      <c r="L10" s="35">
        <v>25.0</v>
      </c>
      <c r="M10" s="35">
        <v>502.25</v>
      </c>
    </row>
    <row r="11">
      <c r="B11" s="23" t="s">
        <v>31</v>
      </c>
      <c r="C11" s="24">
        <v>608.0</v>
      </c>
      <c r="D11" s="29">
        <v>50.0</v>
      </c>
      <c r="E11" s="30">
        <f>C11*50/100</f>
        <v>304</v>
      </c>
      <c r="F11" s="87">
        <f>E11/E21*100</f>
        <v>97.98865395</v>
      </c>
      <c r="J11" s="35">
        <v>22.12</v>
      </c>
      <c r="K11" s="35">
        <v>880.0</v>
      </c>
      <c r="L11" s="35">
        <v>22.0</v>
      </c>
      <c r="M11" s="35">
        <v>448.48</v>
      </c>
      <c r="N11" s="35">
        <f>M11+M10</f>
        <v>950.73</v>
      </c>
      <c r="O11" s="35">
        <v>950.0</v>
      </c>
      <c r="P11" s="35">
        <f>N11-O11</f>
        <v>0.73</v>
      </c>
    </row>
    <row r="12">
      <c r="B12" s="23" t="s">
        <v>26</v>
      </c>
      <c r="C12" s="24">
        <v>0.0</v>
      </c>
      <c r="D12" s="29">
        <v>30.0</v>
      </c>
      <c r="E12" s="30">
        <f>C12*30/100</f>
        <v>0</v>
      </c>
      <c r="F12" s="87">
        <f>E12/E21*100</f>
        <v>0</v>
      </c>
      <c r="J12" s="35">
        <v>23.12</v>
      </c>
      <c r="K12" s="35">
        <v>434.0</v>
      </c>
      <c r="L12" s="35">
        <v>11.0</v>
      </c>
      <c r="M12" s="35">
        <v>221.29</v>
      </c>
    </row>
    <row r="13">
      <c r="B13" s="23" t="s">
        <v>28</v>
      </c>
      <c r="C13" s="24">
        <v>0.0</v>
      </c>
      <c r="D13" s="29">
        <v>50.0</v>
      </c>
      <c r="E13" s="30">
        <f t="shared" ref="E13:E14" si="2">C13*50/100</f>
        <v>0</v>
      </c>
      <c r="F13" s="87">
        <f>E13/E21*100</f>
        <v>0</v>
      </c>
    </row>
    <row r="14">
      <c r="B14" s="23" t="s">
        <v>31</v>
      </c>
      <c r="C14" s="24">
        <v>0.0</v>
      </c>
      <c r="D14" s="29">
        <v>50.0</v>
      </c>
      <c r="E14" s="30">
        <f t="shared" si="2"/>
        <v>0</v>
      </c>
      <c r="F14" s="87">
        <v>0.0</v>
      </c>
      <c r="J14" s="49">
        <v>28.12</v>
      </c>
      <c r="K14" s="49">
        <v>1285.0</v>
      </c>
      <c r="L14" s="49">
        <v>33.0</v>
      </c>
      <c r="M14" s="49">
        <v>655.37</v>
      </c>
    </row>
    <row r="15">
      <c r="B15" s="23" t="s">
        <v>32</v>
      </c>
      <c r="C15" s="24">
        <v>0.0</v>
      </c>
      <c r="D15" s="29">
        <v>30.0</v>
      </c>
      <c r="E15" s="30">
        <v>0.0</v>
      </c>
      <c r="F15" s="87">
        <v>0.0</v>
      </c>
      <c r="J15" s="49">
        <v>29.12</v>
      </c>
      <c r="K15" s="49">
        <v>970.0</v>
      </c>
      <c r="L15" s="49">
        <v>25.0</v>
      </c>
      <c r="M15" s="49">
        <v>494.75</v>
      </c>
    </row>
    <row r="16">
      <c r="B16" s="40" t="s">
        <v>67</v>
      </c>
      <c r="C16" s="24">
        <v>0.0</v>
      </c>
      <c r="D16" s="29">
        <v>40.0</v>
      </c>
      <c r="E16" s="30">
        <f>C16*40/100</f>
        <v>0</v>
      </c>
      <c r="F16" s="87">
        <f>E16/E21*100</f>
        <v>0</v>
      </c>
      <c r="J16" s="49">
        <v>29.12</v>
      </c>
      <c r="K16" s="49"/>
      <c r="L16" s="49"/>
      <c r="M16" s="49"/>
    </row>
    <row r="17">
      <c r="B17" s="23" t="s">
        <v>34</v>
      </c>
      <c r="C17" s="24">
        <v>16.0</v>
      </c>
      <c r="D17" s="29">
        <v>39.0</v>
      </c>
      <c r="E17" s="30">
        <f>C17*39/100</f>
        <v>6.24</v>
      </c>
      <c r="F17" s="87">
        <f>E17/E21*100</f>
        <v>2.011346055</v>
      </c>
      <c r="J17" s="35">
        <v>30.12</v>
      </c>
      <c r="K17" s="35">
        <v>1350.0</v>
      </c>
      <c r="L17" s="35">
        <v>35.0</v>
      </c>
      <c r="M17" s="35">
        <v>688.65</v>
      </c>
    </row>
    <row r="18">
      <c r="B18" s="23" t="s">
        <v>35</v>
      </c>
      <c r="C18" s="24">
        <v>0.0</v>
      </c>
      <c r="D18" s="29">
        <v>49.0</v>
      </c>
      <c r="E18" s="30">
        <f t="shared" ref="E18:E20" si="3">C18*49/100</f>
        <v>0</v>
      </c>
      <c r="F18" s="87">
        <f>E18/E21*100</f>
        <v>0</v>
      </c>
      <c r="J18" s="35">
        <v>31.12</v>
      </c>
      <c r="K18" s="35">
        <v>970.0</v>
      </c>
      <c r="L18" s="35">
        <v>25.0</v>
      </c>
      <c r="M18" s="35">
        <v>494.75</v>
      </c>
    </row>
    <row r="19">
      <c r="B19" s="23" t="s">
        <v>36</v>
      </c>
      <c r="C19" s="24">
        <v>0.0</v>
      </c>
      <c r="D19" s="29">
        <v>49.0</v>
      </c>
      <c r="E19" s="30">
        <f t="shared" si="3"/>
        <v>0</v>
      </c>
      <c r="F19" s="87">
        <f>E19/E21*100</f>
        <v>0</v>
      </c>
      <c r="J19" s="35">
        <v>1.1</v>
      </c>
      <c r="K19" s="35">
        <v>866.0</v>
      </c>
      <c r="L19" s="35">
        <v>21.0</v>
      </c>
      <c r="M19" s="35">
        <v>441.19</v>
      </c>
      <c r="P19" s="35">
        <v>778.0</v>
      </c>
      <c r="Q19" s="35">
        <v>31.0</v>
      </c>
      <c r="R19" s="35">
        <v>401.0</v>
      </c>
    </row>
    <row r="20">
      <c r="B20" s="23" t="s">
        <v>73</v>
      </c>
      <c r="C20" s="24">
        <v>0.0</v>
      </c>
      <c r="D20" s="29">
        <v>49.0</v>
      </c>
      <c r="E20" s="30">
        <f t="shared" si="3"/>
        <v>0</v>
      </c>
      <c r="F20" s="103">
        <f>E20/E21*100</f>
        <v>0</v>
      </c>
      <c r="O20" s="49">
        <v>23.12</v>
      </c>
      <c r="P20" s="35">
        <v>424.0</v>
      </c>
      <c r="Q20" s="35">
        <v>11.0</v>
      </c>
      <c r="R20" s="35">
        <v>221.29</v>
      </c>
    </row>
    <row r="21" ht="15.75" customHeight="1">
      <c r="B21" s="51" t="s">
        <v>39</v>
      </c>
      <c r="C21" s="52">
        <f>SUM(C5:C20)</f>
        <v>624</v>
      </c>
      <c r="D21" s="52"/>
      <c r="E21" s="52">
        <f t="shared" ref="E21:F21" si="4">SUM(E5:E20)</f>
        <v>310.24</v>
      </c>
      <c r="F21" s="56">
        <f t="shared" si="4"/>
        <v>100</v>
      </c>
      <c r="P21" s="35">
        <f t="shared" ref="P21:R21" si="5">SUM(P19:P20)</f>
        <v>1202</v>
      </c>
      <c r="Q21" s="35">
        <f t="shared" si="5"/>
        <v>42</v>
      </c>
      <c r="R21" s="35">
        <f t="shared" si="5"/>
        <v>622.29</v>
      </c>
    </row>
    <row r="22" ht="15.75" customHeight="1">
      <c r="K22" s="35">
        <v>608.0</v>
      </c>
      <c r="L22" s="35">
        <v>16.0</v>
      </c>
      <c r="M22" s="35">
        <v>310.24</v>
      </c>
    </row>
    <row r="23" ht="15.75" customHeight="1">
      <c r="J23" s="35">
        <v>16.12</v>
      </c>
      <c r="K23" s="35">
        <v>1274.0</v>
      </c>
      <c r="L23" s="35">
        <v>32.0</v>
      </c>
      <c r="M23" s="35">
        <v>649.48</v>
      </c>
    </row>
    <row r="24" ht="15.75" customHeight="1">
      <c r="K24" s="35">
        <f t="shared" ref="K24:M24" si="6">SUM(K22:K23)</f>
        <v>1882</v>
      </c>
      <c r="L24" s="35">
        <f t="shared" si="6"/>
        <v>48</v>
      </c>
      <c r="M24" s="35">
        <f t="shared" si="6"/>
        <v>959.72</v>
      </c>
    </row>
    <row r="25" ht="15.75" customHeight="1">
      <c r="P25" s="35">
        <v>699.0</v>
      </c>
      <c r="Q25" s="35">
        <v>24.0</v>
      </c>
      <c r="R25" s="35">
        <v>359.0</v>
      </c>
    </row>
    <row r="26" ht="15.75" customHeight="1">
      <c r="K26" s="35">
        <v>598.0</v>
      </c>
      <c r="L26" s="35">
        <v>15.0</v>
      </c>
      <c r="M26" s="35">
        <v>304.85</v>
      </c>
      <c r="O26" s="49">
        <v>28.12</v>
      </c>
      <c r="P26" s="35">
        <v>1285.0</v>
      </c>
      <c r="Q26" s="35">
        <v>33.0</v>
      </c>
      <c r="R26" s="35">
        <v>655.37</v>
      </c>
    </row>
    <row r="27" ht="15.75" customHeight="1">
      <c r="J27" s="35">
        <v>17.12</v>
      </c>
      <c r="K27" s="35">
        <v>1495.0</v>
      </c>
      <c r="L27" s="35">
        <v>39.0</v>
      </c>
      <c r="M27" s="35">
        <v>762.32</v>
      </c>
      <c r="P27" s="35">
        <f t="shared" ref="P27:R27" si="7">SUM(P25:P26)</f>
        <v>1984</v>
      </c>
      <c r="Q27" s="35">
        <f t="shared" si="7"/>
        <v>57</v>
      </c>
      <c r="R27" s="35">
        <f t="shared" si="7"/>
        <v>1014.37</v>
      </c>
    </row>
    <row r="28" ht="15.75" customHeight="1">
      <c r="K28" s="35">
        <f t="shared" ref="K28:M28" si="8">SUM(K26:K27)</f>
        <v>2093</v>
      </c>
      <c r="L28" s="35">
        <f t="shared" si="8"/>
        <v>54</v>
      </c>
      <c r="M28" s="35">
        <f t="shared" si="8"/>
        <v>1067.17</v>
      </c>
    </row>
    <row r="29" ht="15.75" customHeight="1">
      <c r="P29" s="35">
        <v>818.0</v>
      </c>
      <c r="Q29" s="35">
        <v>26.0</v>
      </c>
      <c r="R29" s="35">
        <v>419.0</v>
      </c>
    </row>
    <row r="30" ht="15.75" customHeight="1">
      <c r="O30" s="35">
        <v>29.12</v>
      </c>
      <c r="P30" s="35">
        <v>970.0</v>
      </c>
      <c r="Q30" s="35">
        <v>25.0</v>
      </c>
      <c r="R30" s="35">
        <v>494.75</v>
      </c>
    </row>
    <row r="31" ht="15.75" customHeight="1">
      <c r="K31" s="35">
        <v>825.0</v>
      </c>
      <c r="L31" s="35">
        <v>26.0</v>
      </c>
      <c r="M31" s="35">
        <v>421.0</v>
      </c>
      <c r="P31" s="35">
        <f t="shared" ref="P31:R31" si="9">SUM(P29:P30)</f>
        <v>1788</v>
      </c>
      <c r="Q31" s="35">
        <f t="shared" si="9"/>
        <v>51</v>
      </c>
      <c r="R31" s="35">
        <f t="shared" si="9"/>
        <v>913.75</v>
      </c>
    </row>
    <row r="32" ht="15.75" customHeight="1">
      <c r="J32" s="35">
        <v>22.12</v>
      </c>
      <c r="K32" s="35">
        <v>880.0</v>
      </c>
      <c r="L32" s="35">
        <v>22.0</v>
      </c>
      <c r="M32" s="35">
        <v>448.48</v>
      </c>
    </row>
    <row r="33" ht="15.75" customHeight="1">
      <c r="K33" s="35">
        <f t="shared" ref="K33:M33" si="10">SUM(K31:K32)</f>
        <v>1705</v>
      </c>
      <c r="L33" s="35">
        <f t="shared" si="10"/>
        <v>48</v>
      </c>
      <c r="M33" s="35">
        <f t="shared" si="10"/>
        <v>869.48</v>
      </c>
    </row>
    <row r="34" ht="15.75" customHeight="1">
      <c r="P34" s="35">
        <v>322.0</v>
      </c>
      <c r="Q34" s="35">
        <v>13.0</v>
      </c>
      <c r="R34" s="35">
        <v>166.0</v>
      </c>
    </row>
    <row r="35" ht="15.75" customHeight="1">
      <c r="O35" s="49">
        <v>31.12</v>
      </c>
      <c r="P35" s="35">
        <v>970.0</v>
      </c>
      <c r="Q35" s="35">
        <v>25.0</v>
      </c>
      <c r="R35" s="35">
        <v>494.75</v>
      </c>
    </row>
    <row r="36" ht="15.75" customHeight="1">
      <c r="P36" s="35">
        <f t="shared" ref="P36:R36" si="11">SUM(P34:P35)</f>
        <v>1292</v>
      </c>
      <c r="Q36" s="35">
        <f t="shared" si="11"/>
        <v>38</v>
      </c>
      <c r="R36" s="35">
        <f t="shared" si="11"/>
        <v>660.75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12.71"/>
    <col customWidth="1" min="3" max="3" width="11.43"/>
    <col customWidth="1" min="4" max="4" width="19.29"/>
    <col customWidth="1" min="5" max="5" width="5.43"/>
    <col customWidth="1" min="6" max="6" width="35.14"/>
    <col customWidth="1" min="7" max="7" width="9.86"/>
    <col customWidth="1" min="8" max="8" width="14.14"/>
    <col customWidth="1" min="9" max="9" width="16.86"/>
    <col customWidth="1" min="10" max="26" width="8.71"/>
  </cols>
  <sheetData>
    <row r="1">
      <c r="A1" s="267" t="s">
        <v>45</v>
      </c>
      <c r="E1" s="268"/>
      <c r="F1" s="267" t="s">
        <v>45</v>
      </c>
    </row>
    <row r="2">
      <c r="A2" s="269" t="s">
        <v>210</v>
      </c>
      <c r="B2" s="110"/>
      <c r="C2" s="110"/>
      <c r="D2" s="110"/>
      <c r="E2" s="268"/>
      <c r="F2" s="269" t="s">
        <v>211</v>
      </c>
      <c r="G2" s="110"/>
      <c r="H2" s="110"/>
      <c r="I2" s="110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19.5" customHeight="1">
      <c r="A3" s="270" t="s">
        <v>212</v>
      </c>
      <c r="B3" s="271" t="s">
        <v>48</v>
      </c>
      <c r="C3" s="271" t="s">
        <v>50</v>
      </c>
      <c r="D3" s="271" t="s">
        <v>49</v>
      </c>
      <c r="E3" s="49"/>
      <c r="F3" s="271" t="s">
        <v>212</v>
      </c>
      <c r="G3" s="271" t="s">
        <v>48</v>
      </c>
      <c r="H3" s="271" t="s">
        <v>50</v>
      </c>
      <c r="I3" s="271" t="s">
        <v>49</v>
      </c>
    </row>
    <row r="4">
      <c r="A4" s="36" t="s">
        <v>17</v>
      </c>
      <c r="B4" s="29">
        <v>1593.0</v>
      </c>
      <c r="C4" s="29">
        <v>482.0</v>
      </c>
      <c r="D4" s="29">
        <v>65.0</v>
      </c>
      <c r="E4" s="49"/>
      <c r="F4" s="29" t="s">
        <v>17</v>
      </c>
      <c r="G4" s="29">
        <v>510.0</v>
      </c>
      <c r="H4" s="29"/>
      <c r="I4" s="29">
        <v>510.0</v>
      </c>
      <c r="K4" s="35">
        <f>(G4-B4)/B4</f>
        <v>-0.6798493409</v>
      </c>
    </row>
    <row r="5">
      <c r="A5" s="36" t="s">
        <v>20</v>
      </c>
      <c r="B5" s="29">
        <v>0.0</v>
      </c>
      <c r="C5" s="29"/>
      <c r="D5" s="29">
        <v>180.0</v>
      </c>
      <c r="E5" s="49"/>
      <c r="F5" s="29" t="s">
        <v>23</v>
      </c>
      <c r="G5" s="29">
        <v>510.0</v>
      </c>
      <c r="H5" s="29"/>
      <c r="I5" s="29">
        <v>510.0</v>
      </c>
      <c r="K5" s="49">
        <f>(G5-B6)/G5</f>
        <v>-9.411764706</v>
      </c>
    </row>
    <row r="6">
      <c r="A6" s="36" t="s">
        <v>23</v>
      </c>
      <c r="B6" s="29">
        <v>5310.0</v>
      </c>
      <c r="C6" s="29"/>
      <c r="D6" s="29">
        <v>430.0</v>
      </c>
      <c r="E6" s="49"/>
      <c r="F6" s="29" t="s">
        <v>13</v>
      </c>
      <c r="G6" s="29"/>
      <c r="H6" s="29">
        <v>200.0</v>
      </c>
      <c r="I6" s="29">
        <v>200.0</v>
      </c>
    </row>
    <row r="7">
      <c r="A7" s="36" t="s">
        <v>33</v>
      </c>
      <c r="B7" s="29">
        <v>0.0</v>
      </c>
      <c r="C7" s="29"/>
      <c r="D7" s="29">
        <v>80.0</v>
      </c>
      <c r="E7" s="49"/>
      <c r="F7" s="29" t="s">
        <v>11</v>
      </c>
      <c r="G7" s="29"/>
      <c r="H7" s="29">
        <v>2239.0</v>
      </c>
      <c r="I7" s="29">
        <v>2239.0</v>
      </c>
    </row>
    <row r="8">
      <c r="A8" s="36" t="s">
        <v>13</v>
      </c>
      <c r="B8" s="29">
        <v>195.0</v>
      </c>
      <c r="C8" s="29"/>
      <c r="D8" s="29">
        <v>1725.0</v>
      </c>
      <c r="E8" s="49"/>
      <c r="F8" s="29" t="s">
        <v>27</v>
      </c>
      <c r="G8" s="29">
        <v>10.0</v>
      </c>
      <c r="H8" s="29">
        <v>55.0</v>
      </c>
      <c r="I8" s="29">
        <v>65.0</v>
      </c>
    </row>
    <row r="9">
      <c r="A9" s="36" t="s">
        <v>11</v>
      </c>
      <c r="B9" s="29">
        <v>1005.0</v>
      </c>
      <c r="C9" s="29"/>
      <c r="D9" s="29">
        <v>10547.0</v>
      </c>
      <c r="E9" s="49"/>
      <c r="F9" s="29" t="s">
        <v>25</v>
      </c>
      <c r="G9" s="29"/>
      <c r="H9" s="29">
        <v>177.0</v>
      </c>
      <c r="I9" s="29">
        <v>177.0</v>
      </c>
    </row>
    <row r="10">
      <c r="A10" s="36" t="s">
        <v>213</v>
      </c>
      <c r="B10" s="29">
        <v>25.0</v>
      </c>
      <c r="C10" s="29"/>
      <c r="D10" s="29">
        <v>0.0</v>
      </c>
      <c r="E10" s="49"/>
      <c r="F10" s="29" t="s">
        <v>22</v>
      </c>
      <c r="G10" s="29">
        <v>10.0</v>
      </c>
      <c r="H10" s="29">
        <v>120.0</v>
      </c>
      <c r="I10" s="29">
        <v>130.0</v>
      </c>
    </row>
    <row r="11">
      <c r="A11" s="36" t="s">
        <v>27</v>
      </c>
      <c r="B11" s="29">
        <v>10.0</v>
      </c>
      <c r="C11" s="29"/>
      <c r="D11" s="29">
        <v>512.0</v>
      </c>
      <c r="E11" s="49"/>
      <c r="F11" s="29" t="s">
        <v>19</v>
      </c>
      <c r="G11" s="29"/>
      <c r="H11" s="29">
        <v>70.0</v>
      </c>
      <c r="I11" s="29">
        <v>70.0</v>
      </c>
    </row>
    <row r="12">
      <c r="A12" s="36" t="s">
        <v>25</v>
      </c>
      <c r="B12" s="29">
        <v>0.0</v>
      </c>
      <c r="C12" s="29"/>
      <c r="D12" s="29">
        <v>927.0</v>
      </c>
      <c r="E12" s="49"/>
      <c r="F12" s="29" t="s">
        <v>29</v>
      </c>
      <c r="G12" s="29"/>
      <c r="H12" s="29">
        <v>247.0</v>
      </c>
      <c r="I12" s="29">
        <v>247.0</v>
      </c>
    </row>
    <row r="13">
      <c r="A13" s="36" t="s">
        <v>22</v>
      </c>
      <c r="B13" s="29">
        <v>10.0</v>
      </c>
      <c r="C13" s="29"/>
      <c r="D13" s="29">
        <v>408.0</v>
      </c>
      <c r="E13" s="49"/>
      <c r="F13" s="29" t="s">
        <v>214</v>
      </c>
      <c r="G13" s="29">
        <v>1216.0</v>
      </c>
      <c r="H13" s="29">
        <v>288.0</v>
      </c>
      <c r="I13" s="29">
        <v>1504.0</v>
      </c>
    </row>
    <row r="14">
      <c r="A14" s="36" t="s">
        <v>19</v>
      </c>
      <c r="B14" s="29">
        <v>40.0</v>
      </c>
      <c r="C14" s="29"/>
      <c r="D14" s="29">
        <v>847.0</v>
      </c>
      <c r="E14" s="49"/>
      <c r="F14" s="271" t="s">
        <v>190</v>
      </c>
      <c r="G14" s="271">
        <f>SUM(G3:G13)</f>
        <v>2256</v>
      </c>
      <c r="H14" s="271">
        <v>482.0</v>
      </c>
      <c r="I14" s="271">
        <f>SUM(I3:I13)</f>
        <v>5652</v>
      </c>
    </row>
    <row r="15">
      <c r="A15" s="36" t="s">
        <v>29</v>
      </c>
      <c r="B15" s="29">
        <v>10.0</v>
      </c>
      <c r="C15" s="29"/>
      <c r="D15" s="29">
        <v>793.0</v>
      </c>
      <c r="E15" s="49"/>
    </row>
    <row r="16">
      <c r="A16" s="36" t="s">
        <v>189</v>
      </c>
      <c r="B16" s="29">
        <v>3736.0</v>
      </c>
      <c r="C16" s="29"/>
      <c r="D16" s="29">
        <v>3993.0</v>
      </c>
      <c r="E16" s="49"/>
    </row>
    <row r="17" ht="20.25" customHeight="1">
      <c r="A17" s="270" t="s">
        <v>190</v>
      </c>
      <c r="B17" s="271">
        <f>SUM(B4:B16)</f>
        <v>11934</v>
      </c>
      <c r="C17" s="271">
        <v>482.0</v>
      </c>
      <c r="D17" s="271">
        <f>SUM(D4:D16)</f>
        <v>20507</v>
      </c>
      <c r="E17" s="49"/>
    </row>
    <row r="18">
      <c r="E18" s="49"/>
    </row>
    <row r="19">
      <c r="E19" s="49"/>
    </row>
    <row r="20">
      <c r="E20" s="49"/>
    </row>
    <row r="21" ht="15.75" customHeight="1">
      <c r="E21" s="49"/>
    </row>
    <row r="22" ht="15.75" customHeight="1">
      <c r="E22" s="49"/>
    </row>
    <row r="23" ht="15.75" customHeight="1">
      <c r="E23" s="49"/>
    </row>
    <row r="24" ht="15.75" customHeight="1">
      <c r="E24" s="49"/>
    </row>
    <row r="25" ht="15.75" customHeight="1">
      <c r="E25" s="49"/>
    </row>
    <row r="26" ht="15.75" customHeight="1">
      <c r="E26" s="49"/>
    </row>
    <row r="27" ht="15.75" customHeight="1">
      <c r="E27" s="49"/>
    </row>
    <row r="28" ht="15.75" customHeight="1">
      <c r="E28" s="49"/>
    </row>
    <row r="29" ht="15.75" customHeight="1">
      <c r="E29" s="49"/>
    </row>
    <row r="30" ht="15.75" customHeight="1">
      <c r="E30" s="49"/>
    </row>
    <row r="31" ht="15.75" customHeight="1">
      <c r="E31" s="49"/>
    </row>
    <row r="32" ht="15.75" customHeight="1">
      <c r="E32" s="49"/>
    </row>
    <row r="33" ht="15.75" customHeight="1">
      <c r="E33" s="49"/>
    </row>
    <row r="34" ht="15.75" customHeight="1">
      <c r="E34" s="49"/>
    </row>
    <row r="35" ht="15.75" customHeight="1">
      <c r="E35" s="49"/>
    </row>
    <row r="36" ht="15.75" customHeight="1">
      <c r="E36" s="49"/>
    </row>
    <row r="37" ht="15.75" customHeight="1">
      <c r="E37" s="49"/>
    </row>
    <row r="38" ht="15.75" customHeight="1">
      <c r="E38" s="49"/>
    </row>
    <row r="39" ht="15.75" customHeight="1">
      <c r="E39" s="49"/>
    </row>
    <row r="40" ht="15.75" customHeight="1">
      <c r="E40" s="49"/>
    </row>
    <row r="41" ht="15.75" customHeight="1">
      <c r="E41" s="49"/>
    </row>
    <row r="42" ht="15.75" customHeight="1">
      <c r="E42" s="49"/>
    </row>
    <row r="43" ht="15.75" customHeight="1">
      <c r="E43" s="49"/>
    </row>
    <row r="44" ht="15.75" customHeight="1">
      <c r="E44" s="49"/>
    </row>
    <row r="45" ht="15.75" customHeight="1">
      <c r="E45" s="49"/>
    </row>
    <row r="46" ht="15.75" customHeight="1">
      <c r="E46" s="49"/>
    </row>
    <row r="47" ht="15.75" customHeight="1">
      <c r="E47" s="49"/>
    </row>
    <row r="48" ht="15.75" customHeight="1">
      <c r="E48" s="49"/>
    </row>
    <row r="49" ht="15.75" customHeight="1">
      <c r="E49" s="49"/>
    </row>
    <row r="50" ht="15.75" customHeight="1">
      <c r="E50" s="49"/>
    </row>
    <row r="51" ht="15.75" customHeight="1">
      <c r="E51" s="49"/>
    </row>
    <row r="52" ht="15.75" customHeight="1">
      <c r="E52" s="49"/>
    </row>
    <row r="53" ht="15.75" customHeight="1">
      <c r="E53" s="49"/>
    </row>
    <row r="54" ht="15.75" customHeight="1">
      <c r="E54" s="49"/>
    </row>
    <row r="55" ht="15.75" customHeight="1">
      <c r="E55" s="49"/>
    </row>
    <row r="56" ht="15.75" customHeight="1">
      <c r="E56" s="49"/>
    </row>
    <row r="57" ht="15.75" customHeight="1">
      <c r="E57" s="49"/>
    </row>
    <row r="58" ht="15.75" customHeight="1">
      <c r="E58" s="49"/>
    </row>
    <row r="59" ht="15.75" customHeight="1">
      <c r="E59" s="49"/>
    </row>
    <row r="60" ht="15.75" customHeight="1">
      <c r="E60" s="49"/>
    </row>
    <row r="61" ht="15.75" customHeight="1">
      <c r="E61" s="49"/>
    </row>
    <row r="62" ht="15.75" customHeight="1">
      <c r="E62" s="49"/>
    </row>
    <row r="63" ht="15.75" customHeight="1">
      <c r="E63" s="49"/>
    </row>
    <row r="64" ht="15.75" customHeight="1">
      <c r="E64" s="49"/>
    </row>
    <row r="65" ht="15.75" customHeight="1">
      <c r="E65" s="49"/>
    </row>
    <row r="66" ht="15.75" customHeight="1">
      <c r="E66" s="49"/>
    </row>
    <row r="67" ht="15.75" customHeight="1">
      <c r="E67" s="49"/>
    </row>
    <row r="68" ht="15.75" customHeight="1">
      <c r="E68" s="49"/>
    </row>
    <row r="69" ht="15.75" customHeight="1">
      <c r="E69" s="49"/>
    </row>
    <row r="70" ht="15.75" customHeight="1">
      <c r="E70" s="49"/>
    </row>
    <row r="71" ht="15.75" customHeight="1">
      <c r="E71" s="49"/>
    </row>
    <row r="72" ht="15.75" customHeight="1">
      <c r="E72" s="49"/>
    </row>
    <row r="73" ht="15.75" customHeight="1">
      <c r="E73" s="49"/>
    </row>
    <row r="74" ht="15.75" customHeight="1">
      <c r="E74" s="49"/>
    </row>
    <row r="75" ht="15.75" customHeight="1">
      <c r="E75" s="49"/>
    </row>
    <row r="76" ht="15.75" customHeight="1">
      <c r="E76" s="49"/>
    </row>
    <row r="77" ht="15.75" customHeight="1">
      <c r="E77" s="49"/>
    </row>
    <row r="78" ht="15.75" customHeight="1">
      <c r="E78" s="49"/>
    </row>
    <row r="79" ht="15.75" customHeight="1">
      <c r="E79" s="49"/>
    </row>
    <row r="80" ht="15.75" customHeight="1">
      <c r="E80" s="49"/>
    </row>
    <row r="81" ht="15.75" customHeight="1">
      <c r="E81" s="49"/>
    </row>
    <row r="82" ht="15.75" customHeight="1">
      <c r="E82" s="49"/>
    </row>
    <row r="83" ht="15.75" customHeight="1">
      <c r="E83" s="49"/>
    </row>
    <row r="84" ht="15.75" customHeight="1">
      <c r="E84" s="49"/>
    </row>
    <row r="85" ht="15.75" customHeight="1">
      <c r="E85" s="49"/>
    </row>
    <row r="86" ht="15.75" customHeight="1">
      <c r="E86" s="49"/>
    </row>
    <row r="87" ht="15.75" customHeight="1">
      <c r="E87" s="49"/>
    </row>
    <row r="88" ht="15.75" customHeight="1">
      <c r="E88" s="49"/>
    </row>
    <row r="89" ht="15.75" customHeight="1">
      <c r="E89" s="49"/>
    </row>
    <row r="90" ht="15.75" customHeight="1">
      <c r="E90" s="49"/>
    </row>
    <row r="91" ht="15.75" customHeight="1">
      <c r="E91" s="49"/>
    </row>
    <row r="92" ht="15.75" customHeight="1">
      <c r="E92" s="49"/>
    </row>
    <row r="93" ht="15.75" customHeight="1">
      <c r="E93" s="49"/>
    </row>
    <row r="94" ht="15.75" customHeight="1">
      <c r="E94" s="49"/>
    </row>
    <row r="95" ht="15.75" customHeight="1">
      <c r="E95" s="49"/>
    </row>
    <row r="96" ht="15.75" customHeight="1">
      <c r="E96" s="49"/>
    </row>
    <row r="97" ht="15.75" customHeight="1">
      <c r="E97" s="49"/>
    </row>
    <row r="98" ht="15.75" customHeight="1">
      <c r="E98" s="49"/>
    </row>
    <row r="99" ht="15.75" customHeight="1">
      <c r="E99" s="49"/>
    </row>
    <row r="100" ht="15.75" customHeight="1">
      <c r="E100" s="49"/>
    </row>
    <row r="101" ht="15.75" customHeight="1">
      <c r="E101" s="49"/>
    </row>
    <row r="102" ht="15.75" customHeight="1">
      <c r="E102" s="49"/>
    </row>
    <row r="103" ht="15.75" customHeight="1">
      <c r="E103" s="49"/>
    </row>
    <row r="104" ht="15.75" customHeight="1">
      <c r="E104" s="49"/>
    </row>
    <row r="105" ht="15.75" customHeight="1">
      <c r="E105" s="49"/>
    </row>
    <row r="106" ht="15.75" customHeight="1">
      <c r="E106" s="49"/>
    </row>
    <row r="107" ht="15.75" customHeight="1">
      <c r="E107" s="49"/>
    </row>
    <row r="108" ht="15.75" customHeight="1">
      <c r="E108" s="49"/>
    </row>
    <row r="109" ht="15.75" customHeight="1">
      <c r="E109" s="49"/>
    </row>
    <row r="110" ht="15.75" customHeight="1">
      <c r="E110" s="49"/>
    </row>
    <row r="111" ht="15.75" customHeight="1">
      <c r="E111" s="49"/>
    </row>
    <row r="112" ht="15.75" customHeight="1">
      <c r="E112" s="49"/>
    </row>
    <row r="113" ht="15.75" customHeight="1">
      <c r="E113" s="49"/>
    </row>
    <row r="114" ht="15.75" customHeight="1">
      <c r="E114" s="49"/>
    </row>
    <row r="115" ht="15.75" customHeight="1">
      <c r="E115" s="49"/>
    </row>
    <row r="116" ht="15.75" customHeight="1">
      <c r="E116" s="49"/>
    </row>
    <row r="117" ht="15.75" customHeight="1">
      <c r="E117" s="49"/>
    </row>
    <row r="118" ht="15.75" customHeight="1">
      <c r="E118" s="49"/>
    </row>
    <row r="119" ht="15.75" customHeight="1">
      <c r="E119" s="49"/>
    </row>
    <row r="120" ht="15.75" customHeight="1">
      <c r="E120" s="49"/>
    </row>
    <row r="121" ht="15.75" customHeight="1">
      <c r="E121" s="49"/>
    </row>
    <row r="122" ht="15.75" customHeight="1">
      <c r="E122" s="49"/>
    </row>
    <row r="123" ht="15.75" customHeight="1">
      <c r="E123" s="49"/>
    </row>
    <row r="124" ht="15.75" customHeight="1">
      <c r="E124" s="49"/>
    </row>
    <row r="125" ht="15.75" customHeight="1">
      <c r="E125" s="49"/>
    </row>
    <row r="126" ht="15.75" customHeight="1">
      <c r="E126" s="49"/>
    </row>
    <row r="127" ht="15.75" customHeight="1">
      <c r="E127" s="49"/>
    </row>
    <row r="128" ht="15.75" customHeight="1">
      <c r="E128" s="49"/>
    </row>
    <row r="129" ht="15.75" customHeight="1">
      <c r="E129" s="49"/>
    </row>
    <row r="130" ht="15.75" customHeight="1">
      <c r="E130" s="49"/>
    </row>
    <row r="131" ht="15.75" customHeight="1">
      <c r="E131" s="49"/>
    </row>
    <row r="132" ht="15.75" customHeight="1">
      <c r="E132" s="49"/>
    </row>
    <row r="133" ht="15.75" customHeight="1">
      <c r="E133" s="49"/>
    </row>
    <row r="134" ht="15.75" customHeight="1">
      <c r="E134" s="49"/>
    </row>
    <row r="135" ht="15.75" customHeight="1">
      <c r="E135" s="49"/>
    </row>
    <row r="136" ht="15.75" customHeight="1">
      <c r="E136" s="49"/>
    </row>
    <row r="137" ht="15.75" customHeight="1">
      <c r="E137" s="49"/>
    </row>
    <row r="138" ht="15.75" customHeight="1">
      <c r="E138" s="49"/>
    </row>
    <row r="139" ht="15.75" customHeight="1">
      <c r="E139" s="49"/>
    </row>
    <row r="140" ht="15.75" customHeight="1">
      <c r="E140" s="49"/>
    </row>
    <row r="141" ht="15.75" customHeight="1">
      <c r="E141" s="49"/>
    </row>
    <row r="142" ht="15.75" customHeight="1">
      <c r="E142" s="49"/>
    </row>
    <row r="143" ht="15.75" customHeight="1">
      <c r="E143" s="49"/>
    </row>
    <row r="144" ht="15.75" customHeight="1">
      <c r="E144" s="49"/>
    </row>
    <row r="145" ht="15.75" customHeight="1">
      <c r="E145" s="49"/>
    </row>
    <row r="146" ht="15.75" customHeight="1">
      <c r="E146" s="49"/>
    </row>
    <row r="147" ht="15.75" customHeight="1">
      <c r="E147" s="49"/>
    </row>
    <row r="148" ht="15.75" customHeight="1">
      <c r="E148" s="49"/>
    </row>
    <row r="149" ht="15.75" customHeight="1">
      <c r="E149" s="49"/>
    </row>
    <row r="150" ht="15.75" customHeight="1">
      <c r="E150" s="49"/>
    </row>
    <row r="151" ht="15.75" customHeight="1">
      <c r="E151" s="49"/>
    </row>
    <row r="152" ht="15.75" customHeight="1">
      <c r="E152" s="49"/>
    </row>
    <row r="153" ht="15.75" customHeight="1">
      <c r="E153" s="49"/>
    </row>
    <row r="154" ht="15.75" customHeight="1">
      <c r="E154" s="49"/>
    </row>
    <row r="155" ht="15.75" customHeight="1">
      <c r="E155" s="49"/>
    </row>
    <row r="156" ht="15.75" customHeight="1">
      <c r="E156" s="49"/>
    </row>
    <row r="157" ht="15.75" customHeight="1">
      <c r="E157" s="49"/>
    </row>
    <row r="158" ht="15.75" customHeight="1">
      <c r="E158" s="49"/>
    </row>
    <row r="159" ht="15.75" customHeight="1">
      <c r="E159" s="49"/>
    </row>
    <row r="160" ht="15.75" customHeight="1">
      <c r="E160" s="49"/>
    </row>
    <row r="161" ht="15.75" customHeight="1">
      <c r="E161" s="49"/>
    </row>
    <row r="162" ht="15.75" customHeight="1">
      <c r="E162" s="49"/>
    </row>
    <row r="163" ht="15.75" customHeight="1">
      <c r="E163" s="49"/>
    </row>
    <row r="164" ht="15.75" customHeight="1">
      <c r="E164" s="49"/>
    </row>
    <row r="165" ht="15.75" customHeight="1">
      <c r="E165" s="49"/>
    </row>
    <row r="166" ht="15.75" customHeight="1">
      <c r="E166" s="49"/>
    </row>
    <row r="167" ht="15.75" customHeight="1">
      <c r="E167" s="49"/>
    </row>
    <row r="168" ht="15.75" customHeight="1">
      <c r="E168" s="49"/>
    </row>
    <row r="169" ht="15.75" customHeight="1">
      <c r="E169" s="49"/>
    </row>
    <row r="170" ht="15.75" customHeight="1">
      <c r="E170" s="49"/>
    </row>
    <row r="171" ht="15.75" customHeight="1">
      <c r="E171" s="49"/>
    </row>
    <row r="172" ht="15.75" customHeight="1">
      <c r="E172" s="49"/>
    </row>
    <row r="173" ht="15.75" customHeight="1">
      <c r="E173" s="49"/>
    </row>
    <row r="174" ht="15.75" customHeight="1">
      <c r="E174" s="49"/>
    </row>
    <row r="175" ht="15.75" customHeight="1">
      <c r="E175" s="49"/>
    </row>
    <row r="176" ht="15.75" customHeight="1">
      <c r="E176" s="49"/>
    </row>
    <row r="177" ht="15.75" customHeight="1">
      <c r="E177" s="49"/>
    </row>
    <row r="178" ht="15.75" customHeight="1">
      <c r="E178" s="49"/>
    </row>
    <row r="179" ht="15.75" customHeight="1">
      <c r="E179" s="49"/>
    </row>
    <row r="180" ht="15.75" customHeight="1">
      <c r="E180" s="49"/>
    </row>
    <row r="181" ht="15.75" customHeight="1">
      <c r="E181" s="49"/>
    </row>
    <row r="182" ht="15.75" customHeight="1">
      <c r="E182" s="49"/>
    </row>
    <row r="183" ht="15.75" customHeight="1">
      <c r="E183" s="49"/>
    </row>
    <row r="184" ht="15.75" customHeight="1">
      <c r="E184" s="49"/>
    </row>
    <row r="185" ht="15.75" customHeight="1">
      <c r="E185" s="49"/>
    </row>
    <row r="186" ht="15.75" customHeight="1">
      <c r="E186" s="49"/>
    </row>
    <row r="187" ht="15.75" customHeight="1">
      <c r="E187" s="49"/>
    </row>
    <row r="188" ht="15.75" customHeight="1">
      <c r="E188" s="49"/>
    </row>
    <row r="189" ht="15.75" customHeight="1">
      <c r="E189" s="49"/>
    </row>
    <row r="190" ht="15.75" customHeight="1">
      <c r="E190" s="49"/>
    </row>
    <row r="191" ht="15.75" customHeight="1">
      <c r="E191" s="49"/>
    </row>
    <row r="192" ht="15.75" customHeight="1">
      <c r="E192" s="49"/>
    </row>
    <row r="193" ht="15.75" customHeight="1">
      <c r="E193" s="49"/>
    </row>
    <row r="194" ht="15.75" customHeight="1">
      <c r="E194" s="49"/>
    </row>
    <row r="195" ht="15.75" customHeight="1">
      <c r="E195" s="49"/>
    </row>
    <row r="196" ht="15.75" customHeight="1">
      <c r="E196" s="49"/>
    </row>
    <row r="197" ht="15.75" customHeight="1">
      <c r="E197" s="49"/>
    </row>
    <row r="198" ht="15.75" customHeight="1">
      <c r="E198" s="49"/>
    </row>
    <row r="199" ht="15.75" customHeight="1">
      <c r="E199" s="49"/>
    </row>
    <row r="200" ht="15.75" customHeight="1">
      <c r="E200" s="49"/>
    </row>
    <row r="201" ht="15.75" customHeight="1">
      <c r="E201" s="49"/>
    </row>
    <row r="202" ht="15.75" customHeight="1">
      <c r="E202" s="49"/>
    </row>
    <row r="203" ht="15.75" customHeight="1">
      <c r="E203" s="49"/>
    </row>
    <row r="204" ht="15.75" customHeight="1">
      <c r="E204" s="49"/>
    </row>
    <row r="205" ht="15.75" customHeight="1">
      <c r="E205" s="49"/>
    </row>
    <row r="206" ht="15.75" customHeight="1">
      <c r="E206" s="49"/>
    </row>
    <row r="207" ht="15.75" customHeight="1">
      <c r="E207" s="49"/>
    </row>
    <row r="208" ht="15.75" customHeight="1">
      <c r="E208" s="49"/>
    </row>
    <row r="209" ht="15.75" customHeight="1">
      <c r="E209" s="49"/>
    </row>
    <row r="210" ht="15.75" customHeight="1">
      <c r="E210" s="49"/>
    </row>
    <row r="211" ht="15.75" customHeight="1">
      <c r="E211" s="49"/>
    </row>
    <row r="212" ht="15.75" customHeight="1">
      <c r="E212" s="49"/>
    </row>
    <row r="213" ht="15.75" customHeight="1">
      <c r="E213" s="49"/>
    </row>
    <row r="214" ht="15.75" customHeight="1">
      <c r="E214" s="49"/>
    </row>
    <row r="215" ht="15.75" customHeight="1">
      <c r="E215" s="49"/>
    </row>
    <row r="216" ht="15.75" customHeight="1">
      <c r="E216" s="49"/>
    </row>
    <row r="217" ht="15.75" customHeight="1">
      <c r="E217" s="49"/>
    </row>
    <row r="218" ht="15.75" customHeight="1">
      <c r="E218" s="49"/>
    </row>
    <row r="219" ht="15.75" customHeight="1">
      <c r="E219" s="49"/>
    </row>
    <row r="220" ht="15.75" customHeight="1">
      <c r="E220" s="49"/>
    </row>
    <row r="221" ht="15.75" customHeight="1">
      <c r="E221" s="49"/>
    </row>
    <row r="222" ht="15.75" customHeight="1">
      <c r="E222" s="49"/>
    </row>
    <row r="223" ht="15.75" customHeight="1">
      <c r="E223" s="49"/>
    </row>
    <row r="224" ht="15.75" customHeight="1">
      <c r="E224" s="49"/>
    </row>
    <row r="225" ht="15.75" customHeight="1">
      <c r="E225" s="49"/>
    </row>
    <row r="226" ht="15.75" customHeight="1">
      <c r="E226" s="49"/>
    </row>
    <row r="227" ht="15.75" customHeight="1">
      <c r="E227" s="49"/>
    </row>
    <row r="228" ht="15.75" customHeight="1">
      <c r="E228" s="49"/>
    </row>
    <row r="229" ht="15.75" customHeight="1">
      <c r="E229" s="49"/>
    </row>
    <row r="230" ht="15.75" customHeight="1">
      <c r="E230" s="49"/>
    </row>
    <row r="231" ht="15.75" customHeight="1">
      <c r="E231" s="49"/>
    </row>
    <row r="232" ht="15.75" customHeight="1">
      <c r="E232" s="49"/>
    </row>
    <row r="233" ht="15.75" customHeight="1">
      <c r="E233" s="49"/>
    </row>
    <row r="234" ht="15.75" customHeight="1">
      <c r="E234" s="49"/>
    </row>
    <row r="235" ht="15.75" customHeight="1">
      <c r="E235" s="49"/>
    </row>
    <row r="236" ht="15.75" customHeight="1">
      <c r="E236" s="49"/>
    </row>
    <row r="237" ht="15.75" customHeight="1">
      <c r="E237" s="49"/>
    </row>
    <row r="238" ht="15.75" customHeight="1">
      <c r="E238" s="49"/>
    </row>
    <row r="239" ht="15.75" customHeight="1">
      <c r="E239" s="49"/>
    </row>
    <row r="240" ht="15.75" customHeight="1">
      <c r="E240" s="49"/>
    </row>
    <row r="241" ht="15.75" customHeight="1">
      <c r="E241" s="49"/>
    </row>
    <row r="242" ht="15.75" customHeight="1">
      <c r="E242" s="49"/>
    </row>
    <row r="243" ht="15.75" customHeight="1">
      <c r="E243" s="49"/>
    </row>
    <row r="244" ht="15.75" customHeight="1">
      <c r="E244" s="49"/>
    </row>
    <row r="245" ht="15.75" customHeight="1">
      <c r="E245" s="49"/>
    </row>
    <row r="246" ht="15.75" customHeight="1">
      <c r="E246" s="49"/>
    </row>
    <row r="247" ht="15.75" customHeight="1">
      <c r="E247" s="49"/>
    </row>
    <row r="248" ht="15.75" customHeight="1">
      <c r="E248" s="49"/>
    </row>
    <row r="249" ht="15.75" customHeight="1">
      <c r="E249" s="49"/>
    </row>
    <row r="250" ht="15.75" customHeight="1">
      <c r="E250" s="49"/>
    </row>
    <row r="251" ht="15.75" customHeight="1">
      <c r="E251" s="49"/>
    </row>
    <row r="252" ht="15.75" customHeight="1">
      <c r="E252" s="49"/>
    </row>
    <row r="253" ht="15.75" customHeight="1">
      <c r="E253" s="49"/>
    </row>
    <row r="254" ht="15.75" customHeight="1">
      <c r="E254" s="49"/>
    </row>
    <row r="255" ht="15.75" customHeight="1">
      <c r="E255" s="49"/>
    </row>
    <row r="256" ht="15.75" customHeight="1">
      <c r="E256" s="49"/>
    </row>
    <row r="257" ht="15.75" customHeight="1">
      <c r="E257" s="49"/>
    </row>
    <row r="258" ht="15.75" customHeight="1">
      <c r="E258" s="49"/>
    </row>
    <row r="259" ht="15.75" customHeight="1">
      <c r="E259" s="49"/>
    </row>
    <row r="260" ht="15.75" customHeight="1">
      <c r="E260" s="49"/>
    </row>
    <row r="261" ht="15.75" customHeight="1">
      <c r="E261" s="49"/>
    </row>
    <row r="262" ht="15.75" customHeight="1">
      <c r="E262" s="49"/>
    </row>
    <row r="263" ht="15.75" customHeight="1">
      <c r="E263" s="49"/>
    </row>
    <row r="264" ht="15.75" customHeight="1">
      <c r="E264" s="49"/>
    </row>
    <row r="265" ht="15.75" customHeight="1">
      <c r="E265" s="49"/>
    </row>
    <row r="266" ht="15.75" customHeight="1">
      <c r="E266" s="49"/>
    </row>
    <row r="267" ht="15.75" customHeight="1">
      <c r="E267" s="49"/>
    </row>
    <row r="268" ht="15.75" customHeight="1">
      <c r="E268" s="49"/>
    </row>
    <row r="269" ht="15.75" customHeight="1">
      <c r="E269" s="49"/>
    </row>
    <row r="270" ht="15.75" customHeight="1">
      <c r="E270" s="49"/>
    </row>
    <row r="271" ht="15.75" customHeight="1">
      <c r="E271" s="49"/>
    </row>
    <row r="272" ht="15.75" customHeight="1">
      <c r="E272" s="49"/>
    </row>
    <row r="273" ht="15.75" customHeight="1">
      <c r="E273" s="49"/>
    </row>
    <row r="274" ht="15.75" customHeight="1">
      <c r="E274" s="49"/>
    </row>
    <row r="275" ht="15.75" customHeight="1">
      <c r="E275" s="49"/>
    </row>
    <row r="276" ht="15.75" customHeight="1">
      <c r="E276" s="49"/>
    </row>
    <row r="277" ht="15.75" customHeight="1">
      <c r="E277" s="49"/>
    </row>
    <row r="278" ht="15.75" customHeight="1">
      <c r="E278" s="49"/>
    </row>
    <row r="279" ht="15.75" customHeight="1">
      <c r="E279" s="49"/>
    </row>
    <row r="280" ht="15.75" customHeight="1">
      <c r="E280" s="49"/>
    </row>
    <row r="281" ht="15.75" customHeight="1">
      <c r="E281" s="49"/>
    </row>
    <row r="282" ht="15.75" customHeight="1">
      <c r="E282" s="49"/>
    </row>
    <row r="283" ht="15.75" customHeight="1">
      <c r="E283" s="49"/>
    </row>
    <row r="284" ht="15.75" customHeight="1">
      <c r="E284" s="49"/>
    </row>
    <row r="285" ht="15.75" customHeight="1">
      <c r="E285" s="49"/>
    </row>
    <row r="286" ht="15.75" customHeight="1">
      <c r="E286" s="49"/>
    </row>
    <row r="287" ht="15.75" customHeight="1">
      <c r="E287" s="49"/>
    </row>
    <row r="288" ht="15.75" customHeight="1">
      <c r="E288" s="49"/>
    </row>
    <row r="289" ht="15.75" customHeight="1">
      <c r="E289" s="49"/>
    </row>
    <row r="290" ht="15.75" customHeight="1">
      <c r="E290" s="49"/>
    </row>
    <row r="291" ht="15.75" customHeight="1">
      <c r="E291" s="49"/>
    </row>
    <row r="292" ht="15.75" customHeight="1">
      <c r="E292" s="49"/>
    </row>
    <row r="293" ht="15.75" customHeight="1">
      <c r="E293" s="49"/>
    </row>
    <row r="294" ht="15.75" customHeight="1">
      <c r="E294" s="49"/>
    </row>
    <row r="295" ht="15.75" customHeight="1">
      <c r="E295" s="49"/>
    </row>
    <row r="296" ht="15.75" customHeight="1">
      <c r="E296" s="49"/>
    </row>
    <row r="297" ht="15.75" customHeight="1">
      <c r="E297" s="49"/>
    </row>
    <row r="298" ht="15.75" customHeight="1">
      <c r="E298" s="49"/>
    </row>
    <row r="299" ht="15.75" customHeight="1">
      <c r="E299" s="49"/>
    </row>
    <row r="300" ht="15.75" customHeight="1">
      <c r="E300" s="49"/>
    </row>
    <row r="301" ht="15.75" customHeight="1">
      <c r="E301" s="49"/>
    </row>
    <row r="302" ht="15.75" customHeight="1">
      <c r="E302" s="49"/>
    </row>
    <row r="303" ht="15.75" customHeight="1">
      <c r="E303" s="49"/>
    </row>
    <row r="304" ht="15.75" customHeight="1">
      <c r="E304" s="49"/>
    </row>
    <row r="305" ht="15.75" customHeight="1">
      <c r="E305" s="49"/>
    </row>
    <row r="306" ht="15.75" customHeight="1">
      <c r="E306" s="49"/>
    </row>
    <row r="307" ht="15.75" customHeight="1">
      <c r="E307" s="49"/>
    </row>
    <row r="308" ht="15.75" customHeight="1">
      <c r="E308" s="49"/>
    </row>
    <row r="309" ht="15.75" customHeight="1">
      <c r="E309" s="49"/>
    </row>
    <row r="310" ht="15.75" customHeight="1">
      <c r="E310" s="49"/>
    </row>
    <row r="311" ht="15.75" customHeight="1">
      <c r="E311" s="49"/>
    </row>
    <row r="312" ht="15.75" customHeight="1">
      <c r="E312" s="49"/>
    </row>
    <row r="313" ht="15.75" customHeight="1">
      <c r="E313" s="49"/>
    </row>
    <row r="314" ht="15.75" customHeight="1">
      <c r="E314" s="49"/>
    </row>
    <row r="315" ht="15.75" customHeight="1">
      <c r="E315" s="49"/>
    </row>
    <row r="316" ht="15.75" customHeight="1">
      <c r="E316" s="49"/>
    </row>
    <row r="317" ht="15.75" customHeight="1">
      <c r="E317" s="49"/>
    </row>
    <row r="318" ht="15.75" customHeight="1">
      <c r="E318" s="49"/>
    </row>
    <row r="319" ht="15.75" customHeight="1">
      <c r="E319" s="49"/>
    </row>
    <row r="320" ht="15.75" customHeight="1">
      <c r="E320" s="49"/>
    </row>
    <row r="321" ht="15.75" customHeight="1">
      <c r="E321" s="49"/>
    </row>
    <row r="322" ht="15.75" customHeight="1">
      <c r="E322" s="49"/>
    </row>
    <row r="323" ht="15.75" customHeight="1">
      <c r="E323" s="49"/>
    </row>
    <row r="324" ht="15.75" customHeight="1">
      <c r="E324" s="49"/>
    </row>
    <row r="325" ht="15.75" customHeight="1">
      <c r="E325" s="49"/>
    </row>
    <row r="326" ht="15.75" customHeight="1">
      <c r="E326" s="49"/>
    </row>
    <row r="327" ht="15.75" customHeight="1">
      <c r="E327" s="49"/>
    </row>
    <row r="328" ht="15.75" customHeight="1">
      <c r="E328" s="49"/>
    </row>
    <row r="329" ht="15.75" customHeight="1">
      <c r="E329" s="49"/>
    </row>
    <row r="330" ht="15.75" customHeight="1">
      <c r="E330" s="49"/>
    </row>
    <row r="331" ht="15.75" customHeight="1">
      <c r="E331" s="49"/>
    </row>
    <row r="332" ht="15.75" customHeight="1">
      <c r="E332" s="49"/>
    </row>
    <row r="333" ht="15.75" customHeight="1">
      <c r="E333" s="49"/>
    </row>
    <row r="334" ht="15.75" customHeight="1">
      <c r="E334" s="49"/>
    </row>
    <row r="335" ht="15.75" customHeight="1">
      <c r="E335" s="49"/>
    </row>
    <row r="336" ht="15.75" customHeight="1">
      <c r="E336" s="49"/>
    </row>
    <row r="337" ht="15.75" customHeight="1">
      <c r="E337" s="49"/>
    </row>
    <row r="338" ht="15.75" customHeight="1">
      <c r="E338" s="49"/>
    </row>
    <row r="339" ht="15.75" customHeight="1">
      <c r="E339" s="49"/>
    </row>
    <row r="340" ht="15.75" customHeight="1">
      <c r="E340" s="49"/>
    </row>
    <row r="341" ht="15.75" customHeight="1">
      <c r="E341" s="49"/>
    </row>
    <row r="342" ht="15.75" customHeight="1">
      <c r="E342" s="49"/>
    </row>
    <row r="343" ht="15.75" customHeight="1">
      <c r="E343" s="49"/>
    </row>
    <row r="344" ht="15.75" customHeight="1">
      <c r="E344" s="49"/>
    </row>
    <row r="345" ht="15.75" customHeight="1">
      <c r="E345" s="49"/>
    </row>
    <row r="346" ht="15.75" customHeight="1">
      <c r="E346" s="49"/>
    </row>
    <row r="347" ht="15.75" customHeight="1">
      <c r="E347" s="49"/>
    </row>
    <row r="348" ht="15.75" customHeight="1">
      <c r="E348" s="49"/>
    </row>
    <row r="349" ht="15.75" customHeight="1">
      <c r="E349" s="49"/>
    </row>
    <row r="350" ht="15.75" customHeight="1">
      <c r="E350" s="49"/>
    </row>
    <row r="351" ht="15.75" customHeight="1">
      <c r="E351" s="49"/>
    </row>
    <row r="352" ht="15.75" customHeight="1">
      <c r="E352" s="49"/>
    </row>
    <row r="353" ht="15.75" customHeight="1">
      <c r="E353" s="49"/>
    </row>
    <row r="354" ht="15.75" customHeight="1">
      <c r="E354" s="49"/>
    </row>
    <row r="355" ht="15.75" customHeight="1">
      <c r="E355" s="49"/>
    </row>
    <row r="356" ht="15.75" customHeight="1">
      <c r="E356" s="49"/>
    </row>
    <row r="357" ht="15.75" customHeight="1">
      <c r="E357" s="49"/>
    </row>
    <row r="358" ht="15.75" customHeight="1">
      <c r="E358" s="49"/>
    </row>
    <row r="359" ht="15.75" customHeight="1">
      <c r="E359" s="49"/>
    </row>
    <row r="360" ht="15.75" customHeight="1">
      <c r="E360" s="49"/>
    </row>
    <row r="361" ht="15.75" customHeight="1">
      <c r="E361" s="49"/>
    </row>
    <row r="362" ht="15.75" customHeight="1">
      <c r="E362" s="49"/>
    </row>
    <row r="363" ht="15.75" customHeight="1">
      <c r="E363" s="49"/>
    </row>
    <row r="364" ht="15.75" customHeight="1">
      <c r="E364" s="49"/>
    </row>
    <row r="365" ht="15.75" customHeight="1">
      <c r="E365" s="49"/>
    </row>
    <row r="366" ht="15.75" customHeight="1">
      <c r="E366" s="49"/>
    </row>
    <row r="367" ht="15.75" customHeight="1">
      <c r="E367" s="49"/>
    </row>
    <row r="368" ht="15.75" customHeight="1">
      <c r="E368" s="49"/>
    </row>
    <row r="369" ht="15.75" customHeight="1">
      <c r="E369" s="49"/>
    </row>
    <row r="370" ht="15.75" customHeight="1">
      <c r="E370" s="49"/>
    </row>
    <row r="371" ht="15.75" customHeight="1">
      <c r="E371" s="49"/>
    </row>
    <row r="372" ht="15.75" customHeight="1">
      <c r="E372" s="49"/>
    </row>
    <row r="373" ht="15.75" customHeight="1">
      <c r="E373" s="49"/>
    </row>
    <row r="374" ht="15.75" customHeight="1">
      <c r="E374" s="49"/>
    </row>
    <row r="375" ht="15.75" customHeight="1">
      <c r="E375" s="49"/>
    </row>
    <row r="376" ht="15.75" customHeight="1">
      <c r="E376" s="49"/>
    </row>
    <row r="377" ht="15.75" customHeight="1">
      <c r="E377" s="49"/>
    </row>
    <row r="378" ht="15.75" customHeight="1">
      <c r="E378" s="49"/>
    </row>
    <row r="379" ht="15.75" customHeight="1">
      <c r="E379" s="49"/>
    </row>
    <row r="380" ht="15.75" customHeight="1">
      <c r="E380" s="49"/>
    </row>
    <row r="381" ht="15.75" customHeight="1">
      <c r="E381" s="49"/>
    </row>
    <row r="382" ht="15.75" customHeight="1">
      <c r="E382" s="49"/>
    </row>
    <row r="383" ht="15.75" customHeight="1">
      <c r="E383" s="49"/>
    </row>
    <row r="384" ht="15.75" customHeight="1">
      <c r="E384" s="49"/>
    </row>
    <row r="385" ht="15.75" customHeight="1">
      <c r="E385" s="49"/>
    </row>
    <row r="386" ht="15.75" customHeight="1">
      <c r="E386" s="49"/>
    </row>
    <row r="387" ht="15.75" customHeight="1">
      <c r="E387" s="49"/>
    </row>
    <row r="388" ht="15.75" customHeight="1">
      <c r="E388" s="49"/>
    </row>
    <row r="389" ht="15.75" customHeight="1">
      <c r="E389" s="49"/>
    </row>
    <row r="390" ht="15.75" customHeight="1">
      <c r="E390" s="49"/>
    </row>
    <row r="391" ht="15.75" customHeight="1">
      <c r="E391" s="49"/>
    </row>
    <row r="392" ht="15.75" customHeight="1">
      <c r="E392" s="49"/>
    </row>
    <row r="393" ht="15.75" customHeight="1">
      <c r="E393" s="49"/>
    </row>
    <row r="394" ht="15.75" customHeight="1">
      <c r="E394" s="49"/>
    </row>
    <row r="395" ht="15.75" customHeight="1">
      <c r="E395" s="49"/>
    </row>
    <row r="396" ht="15.75" customHeight="1">
      <c r="E396" s="49"/>
    </row>
    <row r="397" ht="15.75" customHeight="1">
      <c r="E397" s="49"/>
    </row>
    <row r="398" ht="15.75" customHeight="1">
      <c r="E398" s="49"/>
    </row>
    <row r="399" ht="15.75" customHeight="1">
      <c r="E399" s="49"/>
    </row>
    <row r="400" ht="15.75" customHeight="1">
      <c r="E400" s="49"/>
    </row>
    <row r="401" ht="15.75" customHeight="1">
      <c r="E401" s="49"/>
    </row>
    <row r="402" ht="15.75" customHeight="1">
      <c r="E402" s="49"/>
    </row>
    <row r="403" ht="15.75" customHeight="1">
      <c r="E403" s="49"/>
    </row>
    <row r="404" ht="15.75" customHeight="1">
      <c r="E404" s="49"/>
    </row>
    <row r="405" ht="15.75" customHeight="1">
      <c r="E405" s="49"/>
    </row>
    <row r="406" ht="15.75" customHeight="1">
      <c r="E406" s="49"/>
    </row>
    <row r="407" ht="15.75" customHeight="1">
      <c r="E407" s="49"/>
    </row>
    <row r="408" ht="15.75" customHeight="1">
      <c r="E408" s="49"/>
    </row>
    <row r="409" ht="15.75" customHeight="1">
      <c r="E409" s="49"/>
    </row>
    <row r="410" ht="15.75" customHeight="1">
      <c r="E410" s="49"/>
    </row>
    <row r="411" ht="15.75" customHeight="1">
      <c r="E411" s="49"/>
    </row>
    <row r="412" ht="15.75" customHeight="1">
      <c r="E412" s="49"/>
    </row>
    <row r="413" ht="15.75" customHeight="1">
      <c r="E413" s="49"/>
    </row>
    <row r="414" ht="15.75" customHeight="1">
      <c r="E414" s="49"/>
    </row>
    <row r="415" ht="15.75" customHeight="1">
      <c r="E415" s="49"/>
    </row>
    <row r="416" ht="15.75" customHeight="1">
      <c r="E416" s="49"/>
    </row>
    <row r="417" ht="15.75" customHeight="1">
      <c r="E417" s="49"/>
    </row>
    <row r="418" ht="15.75" customHeight="1">
      <c r="E418" s="49"/>
    </row>
    <row r="419" ht="15.75" customHeight="1">
      <c r="E419" s="49"/>
    </row>
    <row r="420" ht="15.75" customHeight="1">
      <c r="E420" s="49"/>
    </row>
    <row r="421" ht="15.75" customHeight="1">
      <c r="E421" s="49"/>
    </row>
    <row r="422" ht="15.75" customHeight="1">
      <c r="E422" s="49"/>
    </row>
    <row r="423" ht="15.75" customHeight="1">
      <c r="E423" s="49"/>
    </row>
    <row r="424" ht="15.75" customHeight="1">
      <c r="E424" s="49"/>
    </row>
    <row r="425" ht="15.75" customHeight="1">
      <c r="E425" s="49"/>
    </row>
    <row r="426" ht="15.75" customHeight="1">
      <c r="E426" s="49"/>
    </row>
    <row r="427" ht="15.75" customHeight="1">
      <c r="E427" s="49"/>
    </row>
    <row r="428" ht="15.75" customHeight="1">
      <c r="E428" s="49"/>
    </row>
    <row r="429" ht="15.75" customHeight="1">
      <c r="E429" s="49"/>
    </row>
    <row r="430" ht="15.75" customHeight="1">
      <c r="E430" s="49"/>
    </row>
    <row r="431" ht="15.75" customHeight="1">
      <c r="E431" s="49"/>
    </row>
    <row r="432" ht="15.75" customHeight="1">
      <c r="E432" s="49"/>
    </row>
    <row r="433" ht="15.75" customHeight="1">
      <c r="E433" s="49"/>
    </row>
    <row r="434" ht="15.75" customHeight="1">
      <c r="E434" s="49"/>
    </row>
    <row r="435" ht="15.75" customHeight="1">
      <c r="E435" s="49"/>
    </row>
    <row r="436" ht="15.75" customHeight="1">
      <c r="E436" s="49"/>
    </row>
    <row r="437" ht="15.75" customHeight="1">
      <c r="E437" s="49"/>
    </row>
    <row r="438" ht="15.75" customHeight="1">
      <c r="E438" s="49"/>
    </row>
    <row r="439" ht="15.75" customHeight="1">
      <c r="E439" s="49"/>
    </row>
    <row r="440" ht="15.75" customHeight="1">
      <c r="E440" s="49"/>
    </row>
    <row r="441" ht="15.75" customHeight="1">
      <c r="E441" s="49"/>
    </row>
    <row r="442" ht="15.75" customHeight="1">
      <c r="E442" s="49"/>
    </row>
    <row r="443" ht="15.75" customHeight="1">
      <c r="E443" s="49"/>
    </row>
    <row r="444" ht="15.75" customHeight="1">
      <c r="E444" s="49"/>
    </row>
    <row r="445" ht="15.75" customHeight="1">
      <c r="E445" s="49"/>
    </row>
    <row r="446" ht="15.75" customHeight="1">
      <c r="E446" s="49"/>
    </row>
    <row r="447" ht="15.75" customHeight="1">
      <c r="E447" s="49"/>
    </row>
    <row r="448" ht="15.75" customHeight="1">
      <c r="E448" s="49"/>
    </row>
    <row r="449" ht="15.75" customHeight="1">
      <c r="E449" s="49"/>
    </row>
    <row r="450" ht="15.75" customHeight="1">
      <c r="E450" s="49"/>
    </row>
    <row r="451" ht="15.75" customHeight="1">
      <c r="E451" s="49"/>
    </row>
    <row r="452" ht="15.75" customHeight="1">
      <c r="E452" s="49"/>
    </row>
    <row r="453" ht="15.75" customHeight="1">
      <c r="E453" s="49"/>
    </row>
    <row r="454" ht="15.75" customHeight="1">
      <c r="E454" s="49"/>
    </row>
    <row r="455" ht="15.75" customHeight="1">
      <c r="E455" s="49"/>
    </row>
    <row r="456" ht="15.75" customHeight="1">
      <c r="E456" s="49"/>
    </row>
    <row r="457" ht="15.75" customHeight="1">
      <c r="E457" s="49"/>
    </row>
    <row r="458" ht="15.75" customHeight="1">
      <c r="E458" s="49"/>
    </row>
    <row r="459" ht="15.75" customHeight="1">
      <c r="E459" s="49"/>
    </row>
    <row r="460" ht="15.75" customHeight="1">
      <c r="E460" s="49"/>
    </row>
    <row r="461" ht="15.75" customHeight="1">
      <c r="E461" s="49"/>
    </row>
    <row r="462" ht="15.75" customHeight="1">
      <c r="E462" s="49"/>
    </row>
    <row r="463" ht="15.75" customHeight="1">
      <c r="E463" s="49"/>
    </row>
    <row r="464" ht="15.75" customHeight="1">
      <c r="E464" s="49"/>
    </row>
    <row r="465" ht="15.75" customHeight="1">
      <c r="E465" s="49"/>
    </row>
    <row r="466" ht="15.75" customHeight="1">
      <c r="E466" s="49"/>
    </row>
    <row r="467" ht="15.75" customHeight="1">
      <c r="E467" s="49"/>
    </row>
    <row r="468" ht="15.75" customHeight="1">
      <c r="E468" s="49"/>
    </row>
    <row r="469" ht="15.75" customHeight="1">
      <c r="E469" s="49"/>
    </row>
    <row r="470" ht="15.75" customHeight="1">
      <c r="E470" s="49"/>
    </row>
    <row r="471" ht="15.75" customHeight="1">
      <c r="E471" s="49"/>
    </row>
    <row r="472" ht="15.75" customHeight="1">
      <c r="E472" s="49"/>
    </row>
    <row r="473" ht="15.75" customHeight="1">
      <c r="E473" s="49"/>
    </row>
    <row r="474" ht="15.75" customHeight="1">
      <c r="E474" s="49"/>
    </row>
    <row r="475" ht="15.75" customHeight="1">
      <c r="E475" s="49"/>
    </row>
    <row r="476" ht="15.75" customHeight="1">
      <c r="E476" s="49"/>
    </row>
    <row r="477" ht="15.75" customHeight="1">
      <c r="E477" s="49"/>
    </row>
    <row r="478" ht="15.75" customHeight="1">
      <c r="E478" s="49"/>
    </row>
    <row r="479" ht="15.75" customHeight="1">
      <c r="E479" s="49"/>
    </row>
    <row r="480" ht="15.75" customHeight="1">
      <c r="E480" s="49"/>
    </row>
    <row r="481" ht="15.75" customHeight="1">
      <c r="E481" s="49"/>
    </row>
    <row r="482" ht="15.75" customHeight="1">
      <c r="E482" s="49"/>
    </row>
    <row r="483" ht="15.75" customHeight="1">
      <c r="E483" s="49"/>
    </row>
    <row r="484" ht="15.75" customHeight="1">
      <c r="E484" s="49"/>
    </row>
    <row r="485" ht="15.75" customHeight="1">
      <c r="E485" s="49"/>
    </row>
    <row r="486" ht="15.75" customHeight="1">
      <c r="E486" s="49"/>
    </row>
    <row r="487" ht="15.75" customHeight="1">
      <c r="E487" s="49"/>
    </row>
    <row r="488" ht="15.75" customHeight="1">
      <c r="E488" s="49"/>
    </row>
    <row r="489" ht="15.75" customHeight="1">
      <c r="E489" s="49"/>
    </row>
    <row r="490" ht="15.75" customHeight="1">
      <c r="E490" s="49"/>
    </row>
    <row r="491" ht="15.75" customHeight="1">
      <c r="E491" s="49"/>
    </row>
    <row r="492" ht="15.75" customHeight="1">
      <c r="E492" s="49"/>
    </row>
    <row r="493" ht="15.75" customHeight="1">
      <c r="E493" s="49"/>
    </row>
    <row r="494" ht="15.75" customHeight="1">
      <c r="E494" s="49"/>
    </row>
    <row r="495" ht="15.75" customHeight="1">
      <c r="E495" s="49"/>
    </row>
    <row r="496" ht="15.75" customHeight="1">
      <c r="E496" s="49"/>
    </row>
    <row r="497" ht="15.75" customHeight="1">
      <c r="E497" s="49"/>
    </row>
    <row r="498" ht="15.75" customHeight="1">
      <c r="E498" s="49"/>
    </row>
    <row r="499" ht="15.75" customHeight="1">
      <c r="E499" s="49"/>
    </row>
    <row r="500" ht="15.75" customHeight="1">
      <c r="E500" s="49"/>
    </row>
    <row r="501" ht="15.75" customHeight="1">
      <c r="E501" s="49"/>
    </row>
    <row r="502" ht="15.75" customHeight="1">
      <c r="E502" s="49"/>
    </row>
    <row r="503" ht="15.75" customHeight="1">
      <c r="E503" s="49"/>
    </row>
    <row r="504" ht="15.75" customHeight="1">
      <c r="E504" s="49"/>
    </row>
    <row r="505" ht="15.75" customHeight="1">
      <c r="E505" s="49"/>
    </row>
    <row r="506" ht="15.75" customHeight="1">
      <c r="E506" s="49"/>
    </row>
    <row r="507" ht="15.75" customHeight="1">
      <c r="E507" s="49"/>
    </row>
    <row r="508" ht="15.75" customHeight="1">
      <c r="E508" s="49"/>
    </row>
    <row r="509" ht="15.75" customHeight="1">
      <c r="E509" s="49"/>
    </row>
    <row r="510" ht="15.75" customHeight="1">
      <c r="E510" s="49"/>
    </row>
    <row r="511" ht="15.75" customHeight="1">
      <c r="E511" s="49"/>
    </row>
    <row r="512" ht="15.75" customHeight="1">
      <c r="E512" s="49"/>
    </row>
    <row r="513" ht="15.75" customHeight="1">
      <c r="E513" s="49"/>
    </row>
    <row r="514" ht="15.75" customHeight="1">
      <c r="E514" s="49"/>
    </row>
    <row r="515" ht="15.75" customHeight="1">
      <c r="E515" s="49"/>
    </row>
    <row r="516" ht="15.75" customHeight="1">
      <c r="E516" s="49"/>
    </row>
    <row r="517" ht="15.75" customHeight="1">
      <c r="E517" s="49"/>
    </row>
    <row r="518" ht="15.75" customHeight="1">
      <c r="E518" s="49"/>
    </row>
    <row r="519" ht="15.75" customHeight="1">
      <c r="E519" s="49"/>
    </row>
    <row r="520" ht="15.75" customHeight="1">
      <c r="E520" s="49"/>
    </row>
    <row r="521" ht="15.75" customHeight="1">
      <c r="E521" s="49"/>
    </row>
    <row r="522" ht="15.75" customHeight="1">
      <c r="E522" s="49"/>
    </row>
    <row r="523" ht="15.75" customHeight="1">
      <c r="E523" s="49"/>
    </row>
    <row r="524" ht="15.75" customHeight="1">
      <c r="E524" s="49"/>
    </row>
    <row r="525" ht="15.75" customHeight="1">
      <c r="E525" s="49"/>
    </row>
    <row r="526" ht="15.75" customHeight="1">
      <c r="E526" s="49"/>
    </row>
    <row r="527" ht="15.75" customHeight="1">
      <c r="E527" s="49"/>
    </row>
    <row r="528" ht="15.75" customHeight="1">
      <c r="E528" s="49"/>
    </row>
    <row r="529" ht="15.75" customHeight="1">
      <c r="E529" s="49"/>
    </row>
    <row r="530" ht="15.75" customHeight="1">
      <c r="E530" s="49"/>
    </row>
    <row r="531" ht="15.75" customHeight="1">
      <c r="E531" s="49"/>
    </row>
    <row r="532" ht="15.75" customHeight="1">
      <c r="E532" s="49"/>
    </row>
    <row r="533" ht="15.75" customHeight="1">
      <c r="E533" s="49"/>
    </row>
    <row r="534" ht="15.75" customHeight="1">
      <c r="E534" s="49"/>
    </row>
    <row r="535" ht="15.75" customHeight="1">
      <c r="E535" s="49"/>
    </row>
    <row r="536" ht="15.75" customHeight="1">
      <c r="E536" s="49"/>
    </row>
    <row r="537" ht="15.75" customHeight="1">
      <c r="E537" s="49"/>
    </row>
    <row r="538" ht="15.75" customHeight="1">
      <c r="E538" s="49"/>
    </row>
    <row r="539" ht="15.75" customHeight="1">
      <c r="E539" s="49"/>
    </row>
    <row r="540" ht="15.75" customHeight="1">
      <c r="E540" s="49"/>
    </row>
    <row r="541" ht="15.75" customHeight="1">
      <c r="E541" s="49"/>
    </row>
    <row r="542" ht="15.75" customHeight="1">
      <c r="E542" s="49"/>
    </row>
    <row r="543" ht="15.75" customHeight="1">
      <c r="E543" s="49"/>
    </row>
    <row r="544" ht="15.75" customHeight="1">
      <c r="E544" s="49"/>
    </row>
    <row r="545" ht="15.75" customHeight="1">
      <c r="E545" s="49"/>
    </row>
    <row r="546" ht="15.75" customHeight="1">
      <c r="E546" s="49"/>
    </row>
    <row r="547" ht="15.75" customHeight="1">
      <c r="E547" s="49"/>
    </row>
    <row r="548" ht="15.75" customHeight="1">
      <c r="E548" s="49"/>
    </row>
    <row r="549" ht="15.75" customHeight="1">
      <c r="E549" s="49"/>
    </row>
    <row r="550" ht="15.75" customHeight="1">
      <c r="E550" s="49"/>
    </row>
    <row r="551" ht="15.75" customHeight="1">
      <c r="E551" s="49"/>
    </row>
    <row r="552" ht="15.75" customHeight="1">
      <c r="E552" s="49"/>
    </row>
    <row r="553" ht="15.75" customHeight="1">
      <c r="E553" s="49"/>
    </row>
    <row r="554" ht="15.75" customHeight="1">
      <c r="E554" s="49"/>
    </row>
    <row r="555" ht="15.75" customHeight="1">
      <c r="E555" s="49"/>
    </row>
    <row r="556" ht="15.75" customHeight="1">
      <c r="E556" s="49"/>
    </row>
    <row r="557" ht="15.75" customHeight="1">
      <c r="E557" s="49"/>
    </row>
    <row r="558" ht="15.75" customHeight="1">
      <c r="E558" s="49"/>
    </row>
    <row r="559" ht="15.75" customHeight="1">
      <c r="E559" s="49"/>
    </row>
    <row r="560" ht="15.75" customHeight="1">
      <c r="E560" s="49"/>
    </row>
    <row r="561" ht="15.75" customHeight="1">
      <c r="E561" s="49"/>
    </row>
    <row r="562" ht="15.75" customHeight="1">
      <c r="E562" s="49"/>
    </row>
    <row r="563" ht="15.75" customHeight="1">
      <c r="E563" s="49"/>
    </row>
    <row r="564" ht="15.75" customHeight="1">
      <c r="E564" s="49"/>
    </row>
    <row r="565" ht="15.75" customHeight="1">
      <c r="E565" s="49"/>
    </row>
    <row r="566" ht="15.75" customHeight="1">
      <c r="E566" s="49"/>
    </row>
    <row r="567" ht="15.75" customHeight="1">
      <c r="E567" s="49"/>
    </row>
    <row r="568" ht="15.75" customHeight="1">
      <c r="E568" s="49"/>
    </row>
    <row r="569" ht="15.75" customHeight="1">
      <c r="E569" s="49"/>
    </row>
    <row r="570" ht="15.75" customHeight="1">
      <c r="E570" s="49"/>
    </row>
    <row r="571" ht="15.75" customHeight="1">
      <c r="E571" s="49"/>
    </row>
    <row r="572" ht="15.75" customHeight="1">
      <c r="E572" s="49"/>
    </row>
    <row r="573" ht="15.75" customHeight="1">
      <c r="E573" s="49"/>
    </row>
    <row r="574" ht="15.75" customHeight="1">
      <c r="E574" s="49"/>
    </row>
    <row r="575" ht="15.75" customHeight="1">
      <c r="E575" s="49"/>
    </row>
    <row r="576" ht="15.75" customHeight="1">
      <c r="E576" s="49"/>
    </row>
    <row r="577" ht="15.75" customHeight="1">
      <c r="E577" s="49"/>
    </row>
    <row r="578" ht="15.75" customHeight="1">
      <c r="E578" s="49"/>
    </row>
    <row r="579" ht="15.75" customHeight="1">
      <c r="E579" s="49"/>
    </row>
    <row r="580" ht="15.75" customHeight="1">
      <c r="E580" s="49"/>
    </row>
    <row r="581" ht="15.75" customHeight="1">
      <c r="E581" s="49"/>
    </row>
    <row r="582" ht="15.75" customHeight="1">
      <c r="E582" s="49"/>
    </row>
    <row r="583" ht="15.75" customHeight="1">
      <c r="E583" s="49"/>
    </row>
    <row r="584" ht="15.75" customHeight="1">
      <c r="E584" s="49"/>
    </row>
    <row r="585" ht="15.75" customHeight="1">
      <c r="E585" s="49"/>
    </row>
    <row r="586" ht="15.75" customHeight="1">
      <c r="E586" s="49"/>
    </row>
    <row r="587" ht="15.75" customHeight="1">
      <c r="E587" s="49"/>
    </row>
    <row r="588" ht="15.75" customHeight="1">
      <c r="E588" s="49"/>
    </row>
    <row r="589" ht="15.75" customHeight="1">
      <c r="E589" s="49"/>
    </row>
    <row r="590" ht="15.75" customHeight="1">
      <c r="E590" s="49"/>
    </row>
    <row r="591" ht="15.75" customHeight="1">
      <c r="E591" s="49"/>
    </row>
    <row r="592" ht="15.75" customHeight="1">
      <c r="E592" s="49"/>
    </row>
    <row r="593" ht="15.75" customHeight="1">
      <c r="E593" s="49"/>
    </row>
    <row r="594" ht="15.75" customHeight="1">
      <c r="E594" s="49"/>
    </row>
    <row r="595" ht="15.75" customHeight="1">
      <c r="E595" s="49"/>
    </row>
    <row r="596" ht="15.75" customHeight="1">
      <c r="E596" s="49"/>
    </row>
    <row r="597" ht="15.75" customHeight="1">
      <c r="E597" s="49"/>
    </row>
    <row r="598" ht="15.75" customHeight="1">
      <c r="E598" s="49"/>
    </row>
    <row r="599" ht="15.75" customHeight="1">
      <c r="E599" s="49"/>
    </row>
    <row r="600" ht="15.75" customHeight="1">
      <c r="E600" s="49"/>
    </row>
    <row r="601" ht="15.75" customHeight="1">
      <c r="E601" s="49"/>
    </row>
    <row r="602" ht="15.75" customHeight="1">
      <c r="E602" s="49"/>
    </row>
    <row r="603" ht="15.75" customHeight="1">
      <c r="E603" s="49"/>
    </row>
    <row r="604" ht="15.75" customHeight="1">
      <c r="E604" s="49"/>
    </row>
    <row r="605" ht="15.75" customHeight="1">
      <c r="E605" s="49"/>
    </row>
    <row r="606" ht="15.75" customHeight="1">
      <c r="E606" s="49"/>
    </row>
    <row r="607" ht="15.75" customHeight="1">
      <c r="E607" s="49"/>
    </row>
    <row r="608" ht="15.75" customHeight="1">
      <c r="E608" s="49"/>
    </row>
    <row r="609" ht="15.75" customHeight="1">
      <c r="E609" s="49"/>
    </row>
    <row r="610" ht="15.75" customHeight="1">
      <c r="E610" s="49"/>
    </row>
    <row r="611" ht="15.75" customHeight="1">
      <c r="E611" s="49"/>
    </row>
    <row r="612" ht="15.75" customHeight="1">
      <c r="E612" s="49"/>
    </row>
    <row r="613" ht="15.75" customHeight="1">
      <c r="E613" s="49"/>
    </row>
    <row r="614" ht="15.75" customHeight="1">
      <c r="E614" s="49"/>
    </row>
    <row r="615" ht="15.75" customHeight="1">
      <c r="E615" s="49"/>
    </row>
    <row r="616" ht="15.75" customHeight="1">
      <c r="E616" s="49"/>
    </row>
    <row r="617" ht="15.75" customHeight="1">
      <c r="E617" s="49"/>
    </row>
    <row r="618" ht="15.75" customHeight="1">
      <c r="E618" s="49"/>
    </row>
    <row r="619" ht="15.75" customHeight="1">
      <c r="E619" s="49"/>
    </row>
    <row r="620" ht="15.75" customHeight="1">
      <c r="E620" s="49"/>
    </row>
    <row r="621" ht="15.75" customHeight="1">
      <c r="E621" s="49"/>
    </row>
    <row r="622" ht="15.75" customHeight="1">
      <c r="E622" s="49"/>
    </row>
    <row r="623" ht="15.75" customHeight="1">
      <c r="E623" s="49"/>
    </row>
    <row r="624" ht="15.75" customHeight="1">
      <c r="E624" s="49"/>
    </row>
    <row r="625" ht="15.75" customHeight="1">
      <c r="E625" s="49"/>
    </row>
    <row r="626" ht="15.75" customHeight="1">
      <c r="E626" s="49"/>
    </row>
    <row r="627" ht="15.75" customHeight="1">
      <c r="E627" s="49"/>
    </row>
    <row r="628" ht="15.75" customHeight="1">
      <c r="E628" s="49"/>
    </row>
    <row r="629" ht="15.75" customHeight="1">
      <c r="E629" s="49"/>
    </row>
    <row r="630" ht="15.75" customHeight="1">
      <c r="E630" s="49"/>
    </row>
    <row r="631" ht="15.75" customHeight="1">
      <c r="E631" s="49"/>
    </row>
    <row r="632" ht="15.75" customHeight="1">
      <c r="E632" s="49"/>
    </row>
    <row r="633" ht="15.75" customHeight="1">
      <c r="E633" s="49"/>
    </row>
    <row r="634" ht="15.75" customHeight="1">
      <c r="E634" s="49"/>
    </row>
    <row r="635" ht="15.75" customHeight="1">
      <c r="E635" s="49"/>
    </row>
    <row r="636" ht="15.75" customHeight="1">
      <c r="E636" s="49"/>
    </row>
    <row r="637" ht="15.75" customHeight="1">
      <c r="E637" s="49"/>
    </row>
    <row r="638" ht="15.75" customHeight="1">
      <c r="E638" s="49"/>
    </row>
    <row r="639" ht="15.75" customHeight="1">
      <c r="E639" s="49"/>
    </row>
    <row r="640" ht="15.75" customHeight="1">
      <c r="E640" s="49"/>
    </row>
    <row r="641" ht="15.75" customHeight="1">
      <c r="E641" s="49"/>
    </row>
    <row r="642" ht="15.75" customHeight="1">
      <c r="E642" s="49"/>
    </row>
    <row r="643" ht="15.75" customHeight="1">
      <c r="E643" s="49"/>
    </row>
    <row r="644" ht="15.75" customHeight="1">
      <c r="E644" s="49"/>
    </row>
    <row r="645" ht="15.75" customHeight="1">
      <c r="E645" s="49"/>
    </row>
    <row r="646" ht="15.75" customHeight="1">
      <c r="E646" s="49"/>
    </row>
    <row r="647" ht="15.75" customHeight="1">
      <c r="E647" s="49"/>
    </row>
    <row r="648" ht="15.75" customHeight="1">
      <c r="E648" s="49"/>
    </row>
    <row r="649" ht="15.75" customHeight="1">
      <c r="E649" s="49"/>
    </row>
    <row r="650" ht="15.75" customHeight="1">
      <c r="E650" s="49"/>
    </row>
    <row r="651" ht="15.75" customHeight="1">
      <c r="E651" s="49"/>
    </row>
    <row r="652" ht="15.75" customHeight="1">
      <c r="E652" s="49"/>
    </row>
    <row r="653" ht="15.75" customHeight="1">
      <c r="E653" s="49"/>
    </row>
    <row r="654" ht="15.75" customHeight="1">
      <c r="E654" s="49"/>
    </row>
    <row r="655" ht="15.75" customHeight="1">
      <c r="E655" s="49"/>
    </row>
    <row r="656" ht="15.75" customHeight="1">
      <c r="E656" s="49"/>
    </row>
    <row r="657" ht="15.75" customHeight="1">
      <c r="E657" s="49"/>
    </row>
    <row r="658" ht="15.75" customHeight="1">
      <c r="E658" s="49"/>
    </row>
    <row r="659" ht="15.75" customHeight="1">
      <c r="E659" s="49"/>
    </row>
    <row r="660" ht="15.75" customHeight="1">
      <c r="E660" s="49"/>
    </row>
    <row r="661" ht="15.75" customHeight="1">
      <c r="E661" s="49"/>
    </row>
    <row r="662" ht="15.75" customHeight="1">
      <c r="E662" s="49"/>
    </row>
    <row r="663" ht="15.75" customHeight="1">
      <c r="E663" s="49"/>
    </row>
    <row r="664" ht="15.75" customHeight="1">
      <c r="E664" s="49"/>
    </row>
    <row r="665" ht="15.75" customHeight="1">
      <c r="E665" s="49"/>
    </row>
    <row r="666" ht="15.75" customHeight="1">
      <c r="E666" s="49"/>
    </row>
    <row r="667" ht="15.75" customHeight="1">
      <c r="E667" s="49"/>
    </row>
    <row r="668" ht="15.75" customHeight="1">
      <c r="E668" s="49"/>
    </row>
    <row r="669" ht="15.75" customHeight="1">
      <c r="E669" s="49"/>
    </row>
    <row r="670" ht="15.75" customHeight="1">
      <c r="E670" s="49"/>
    </row>
    <row r="671" ht="15.75" customHeight="1">
      <c r="E671" s="49"/>
    </row>
    <row r="672" ht="15.75" customHeight="1">
      <c r="E672" s="49"/>
    </row>
    <row r="673" ht="15.75" customHeight="1">
      <c r="E673" s="49"/>
    </row>
    <row r="674" ht="15.75" customHeight="1">
      <c r="E674" s="49"/>
    </row>
    <row r="675" ht="15.75" customHeight="1">
      <c r="E675" s="49"/>
    </row>
    <row r="676" ht="15.75" customHeight="1">
      <c r="E676" s="49"/>
    </row>
    <row r="677" ht="15.75" customHeight="1">
      <c r="E677" s="49"/>
    </row>
    <row r="678" ht="15.75" customHeight="1">
      <c r="E678" s="49"/>
    </row>
    <row r="679" ht="15.75" customHeight="1">
      <c r="E679" s="49"/>
    </row>
    <row r="680" ht="15.75" customHeight="1">
      <c r="E680" s="49"/>
    </row>
    <row r="681" ht="15.75" customHeight="1">
      <c r="E681" s="49"/>
    </row>
    <row r="682" ht="15.75" customHeight="1">
      <c r="E682" s="49"/>
    </row>
    <row r="683" ht="15.75" customHeight="1">
      <c r="E683" s="49"/>
    </row>
    <row r="684" ht="15.75" customHeight="1">
      <c r="E684" s="49"/>
    </row>
    <row r="685" ht="15.75" customHeight="1">
      <c r="E685" s="49"/>
    </row>
    <row r="686" ht="15.75" customHeight="1">
      <c r="E686" s="49"/>
    </row>
    <row r="687" ht="15.75" customHeight="1">
      <c r="E687" s="49"/>
    </row>
    <row r="688" ht="15.75" customHeight="1">
      <c r="E688" s="49"/>
    </row>
    <row r="689" ht="15.75" customHeight="1">
      <c r="E689" s="49"/>
    </row>
    <row r="690" ht="15.75" customHeight="1">
      <c r="E690" s="49"/>
    </row>
    <row r="691" ht="15.75" customHeight="1">
      <c r="E691" s="49"/>
    </row>
    <row r="692" ht="15.75" customHeight="1">
      <c r="E692" s="49"/>
    </row>
    <row r="693" ht="15.75" customHeight="1">
      <c r="E693" s="49"/>
    </row>
    <row r="694" ht="15.75" customHeight="1">
      <c r="E694" s="49"/>
    </row>
    <row r="695" ht="15.75" customHeight="1">
      <c r="E695" s="49"/>
    </row>
    <row r="696" ht="15.75" customHeight="1">
      <c r="E696" s="49"/>
    </row>
    <row r="697" ht="15.75" customHeight="1">
      <c r="E697" s="49"/>
    </row>
    <row r="698" ht="15.75" customHeight="1">
      <c r="E698" s="49"/>
    </row>
    <row r="699" ht="15.75" customHeight="1">
      <c r="E699" s="49"/>
    </row>
    <row r="700" ht="15.75" customHeight="1">
      <c r="E700" s="49"/>
    </row>
    <row r="701" ht="15.75" customHeight="1">
      <c r="E701" s="49"/>
    </row>
    <row r="702" ht="15.75" customHeight="1">
      <c r="E702" s="49"/>
    </row>
    <row r="703" ht="15.75" customHeight="1">
      <c r="E703" s="49"/>
    </row>
    <row r="704" ht="15.75" customHeight="1">
      <c r="E704" s="49"/>
    </row>
    <row r="705" ht="15.75" customHeight="1">
      <c r="E705" s="49"/>
    </row>
    <row r="706" ht="15.75" customHeight="1">
      <c r="E706" s="49"/>
    </row>
    <row r="707" ht="15.75" customHeight="1">
      <c r="E707" s="49"/>
    </row>
    <row r="708" ht="15.75" customHeight="1">
      <c r="E708" s="49"/>
    </row>
    <row r="709" ht="15.75" customHeight="1">
      <c r="E709" s="49"/>
    </row>
    <row r="710" ht="15.75" customHeight="1">
      <c r="E710" s="49"/>
    </row>
    <row r="711" ht="15.75" customHeight="1">
      <c r="E711" s="49"/>
    </row>
    <row r="712" ht="15.75" customHeight="1">
      <c r="E712" s="49"/>
    </row>
    <row r="713" ht="15.75" customHeight="1">
      <c r="E713" s="49"/>
    </row>
    <row r="714" ht="15.75" customHeight="1">
      <c r="E714" s="49"/>
    </row>
    <row r="715" ht="15.75" customHeight="1">
      <c r="E715" s="49"/>
    </row>
    <row r="716" ht="15.75" customHeight="1">
      <c r="E716" s="49"/>
    </row>
    <row r="717" ht="15.75" customHeight="1">
      <c r="E717" s="49"/>
    </row>
    <row r="718" ht="15.75" customHeight="1">
      <c r="E718" s="49"/>
    </row>
    <row r="719" ht="15.75" customHeight="1">
      <c r="E719" s="49"/>
    </row>
    <row r="720" ht="15.75" customHeight="1">
      <c r="E720" s="49"/>
    </row>
    <row r="721" ht="15.75" customHeight="1">
      <c r="E721" s="49"/>
    </row>
    <row r="722" ht="15.75" customHeight="1">
      <c r="E722" s="49"/>
    </row>
    <row r="723" ht="15.75" customHeight="1">
      <c r="E723" s="49"/>
    </row>
    <row r="724" ht="15.75" customHeight="1">
      <c r="E724" s="49"/>
    </row>
    <row r="725" ht="15.75" customHeight="1">
      <c r="E725" s="49"/>
    </row>
    <row r="726" ht="15.75" customHeight="1">
      <c r="E726" s="49"/>
    </row>
    <row r="727" ht="15.75" customHeight="1">
      <c r="E727" s="49"/>
    </row>
    <row r="728" ht="15.75" customHeight="1">
      <c r="E728" s="49"/>
    </row>
    <row r="729" ht="15.75" customHeight="1">
      <c r="E729" s="49"/>
    </row>
    <row r="730" ht="15.75" customHeight="1">
      <c r="E730" s="49"/>
    </row>
    <row r="731" ht="15.75" customHeight="1">
      <c r="E731" s="49"/>
    </row>
    <row r="732" ht="15.75" customHeight="1">
      <c r="E732" s="49"/>
    </row>
    <row r="733" ht="15.75" customHeight="1">
      <c r="E733" s="49"/>
    </row>
    <row r="734" ht="15.75" customHeight="1">
      <c r="E734" s="49"/>
    </row>
    <row r="735" ht="15.75" customHeight="1">
      <c r="E735" s="49"/>
    </row>
    <row r="736" ht="15.75" customHeight="1">
      <c r="E736" s="49"/>
    </row>
    <row r="737" ht="15.75" customHeight="1">
      <c r="E737" s="49"/>
    </row>
    <row r="738" ht="15.75" customHeight="1">
      <c r="E738" s="49"/>
    </row>
    <row r="739" ht="15.75" customHeight="1">
      <c r="E739" s="49"/>
    </row>
    <row r="740" ht="15.75" customHeight="1">
      <c r="E740" s="49"/>
    </row>
    <row r="741" ht="15.75" customHeight="1">
      <c r="E741" s="49"/>
    </row>
    <row r="742" ht="15.75" customHeight="1">
      <c r="E742" s="49"/>
    </row>
    <row r="743" ht="15.75" customHeight="1">
      <c r="E743" s="49"/>
    </row>
    <row r="744" ht="15.75" customHeight="1">
      <c r="E744" s="49"/>
    </row>
    <row r="745" ht="15.75" customHeight="1">
      <c r="E745" s="49"/>
    </row>
    <row r="746" ht="15.75" customHeight="1">
      <c r="E746" s="49"/>
    </row>
    <row r="747" ht="15.75" customHeight="1">
      <c r="E747" s="49"/>
    </row>
    <row r="748" ht="15.75" customHeight="1">
      <c r="E748" s="49"/>
    </row>
    <row r="749" ht="15.75" customHeight="1">
      <c r="E749" s="49"/>
    </row>
    <row r="750" ht="15.75" customHeight="1">
      <c r="E750" s="49"/>
    </row>
    <row r="751" ht="15.75" customHeight="1">
      <c r="E751" s="49"/>
    </row>
    <row r="752" ht="15.75" customHeight="1">
      <c r="E752" s="49"/>
    </row>
    <row r="753" ht="15.75" customHeight="1">
      <c r="E753" s="49"/>
    </row>
    <row r="754" ht="15.75" customHeight="1">
      <c r="E754" s="49"/>
    </row>
    <row r="755" ht="15.75" customHeight="1">
      <c r="E755" s="49"/>
    </row>
    <row r="756" ht="15.75" customHeight="1">
      <c r="E756" s="49"/>
    </row>
    <row r="757" ht="15.75" customHeight="1">
      <c r="E757" s="49"/>
    </row>
    <row r="758" ht="15.75" customHeight="1">
      <c r="E758" s="49"/>
    </row>
    <row r="759" ht="15.75" customHeight="1">
      <c r="E759" s="49"/>
    </row>
    <row r="760" ht="15.75" customHeight="1">
      <c r="E760" s="49"/>
    </row>
    <row r="761" ht="15.75" customHeight="1">
      <c r="E761" s="49"/>
    </row>
    <row r="762" ht="15.75" customHeight="1">
      <c r="E762" s="49"/>
    </row>
    <row r="763" ht="15.75" customHeight="1">
      <c r="E763" s="49"/>
    </row>
    <row r="764" ht="15.75" customHeight="1">
      <c r="E764" s="49"/>
    </row>
    <row r="765" ht="15.75" customHeight="1">
      <c r="E765" s="49"/>
    </row>
    <row r="766" ht="15.75" customHeight="1">
      <c r="E766" s="49"/>
    </row>
    <row r="767" ht="15.75" customHeight="1">
      <c r="E767" s="49"/>
    </row>
    <row r="768" ht="15.75" customHeight="1">
      <c r="E768" s="49"/>
    </row>
    <row r="769" ht="15.75" customHeight="1">
      <c r="E769" s="49"/>
    </row>
    <row r="770" ht="15.75" customHeight="1">
      <c r="E770" s="49"/>
    </row>
    <row r="771" ht="15.75" customHeight="1">
      <c r="E771" s="49"/>
    </row>
    <row r="772" ht="15.75" customHeight="1">
      <c r="E772" s="49"/>
    </row>
    <row r="773" ht="15.75" customHeight="1">
      <c r="E773" s="49"/>
    </row>
    <row r="774" ht="15.75" customHeight="1">
      <c r="E774" s="49"/>
    </row>
    <row r="775" ht="15.75" customHeight="1">
      <c r="E775" s="49"/>
    </row>
    <row r="776" ht="15.75" customHeight="1">
      <c r="E776" s="49"/>
    </row>
    <row r="777" ht="15.75" customHeight="1">
      <c r="E777" s="49"/>
    </row>
    <row r="778" ht="15.75" customHeight="1">
      <c r="E778" s="49"/>
    </row>
    <row r="779" ht="15.75" customHeight="1">
      <c r="E779" s="49"/>
    </row>
    <row r="780" ht="15.75" customHeight="1">
      <c r="E780" s="49"/>
    </row>
    <row r="781" ht="15.75" customHeight="1">
      <c r="E781" s="49"/>
    </row>
    <row r="782" ht="15.75" customHeight="1">
      <c r="E782" s="49"/>
    </row>
    <row r="783" ht="15.75" customHeight="1">
      <c r="E783" s="49"/>
    </row>
    <row r="784" ht="15.75" customHeight="1">
      <c r="E784" s="49"/>
    </row>
    <row r="785" ht="15.75" customHeight="1">
      <c r="E785" s="49"/>
    </row>
    <row r="786" ht="15.75" customHeight="1">
      <c r="E786" s="49"/>
    </row>
    <row r="787" ht="15.75" customHeight="1">
      <c r="E787" s="49"/>
    </row>
    <row r="788" ht="15.75" customHeight="1">
      <c r="E788" s="49"/>
    </row>
    <row r="789" ht="15.75" customHeight="1">
      <c r="E789" s="49"/>
    </row>
    <row r="790" ht="15.75" customHeight="1">
      <c r="E790" s="49"/>
    </row>
    <row r="791" ht="15.75" customHeight="1">
      <c r="E791" s="49"/>
    </row>
    <row r="792" ht="15.75" customHeight="1">
      <c r="E792" s="49"/>
    </row>
    <row r="793" ht="15.75" customHeight="1">
      <c r="E793" s="49"/>
    </row>
    <row r="794" ht="15.75" customHeight="1">
      <c r="E794" s="49"/>
    </row>
    <row r="795" ht="15.75" customHeight="1">
      <c r="E795" s="49"/>
    </row>
    <row r="796" ht="15.75" customHeight="1">
      <c r="E796" s="49"/>
    </row>
    <row r="797" ht="15.75" customHeight="1">
      <c r="E797" s="49"/>
    </row>
    <row r="798" ht="15.75" customHeight="1">
      <c r="E798" s="49"/>
    </row>
    <row r="799" ht="15.75" customHeight="1">
      <c r="E799" s="49"/>
    </row>
    <row r="800" ht="15.75" customHeight="1">
      <c r="E800" s="49"/>
    </row>
    <row r="801" ht="15.75" customHeight="1">
      <c r="E801" s="49"/>
    </row>
    <row r="802" ht="15.75" customHeight="1">
      <c r="E802" s="49"/>
    </row>
    <row r="803" ht="15.75" customHeight="1">
      <c r="E803" s="49"/>
    </row>
    <row r="804" ht="15.75" customHeight="1">
      <c r="E804" s="49"/>
    </row>
    <row r="805" ht="15.75" customHeight="1">
      <c r="E805" s="49"/>
    </row>
    <row r="806" ht="15.75" customHeight="1">
      <c r="E806" s="49"/>
    </row>
    <row r="807" ht="15.75" customHeight="1">
      <c r="E807" s="49"/>
    </row>
    <row r="808" ht="15.75" customHeight="1">
      <c r="E808" s="49"/>
    </row>
    <row r="809" ht="15.75" customHeight="1">
      <c r="E809" s="49"/>
    </row>
    <row r="810" ht="15.75" customHeight="1">
      <c r="E810" s="49"/>
    </row>
    <row r="811" ht="15.75" customHeight="1">
      <c r="E811" s="49"/>
    </row>
    <row r="812" ht="15.75" customHeight="1">
      <c r="E812" s="49"/>
    </row>
    <row r="813" ht="15.75" customHeight="1">
      <c r="E813" s="49"/>
    </row>
    <row r="814" ht="15.75" customHeight="1">
      <c r="E814" s="49"/>
    </row>
    <row r="815" ht="15.75" customHeight="1">
      <c r="E815" s="49"/>
    </row>
    <row r="816" ht="15.75" customHeight="1">
      <c r="E816" s="49"/>
    </row>
    <row r="817" ht="15.75" customHeight="1">
      <c r="E817" s="49"/>
    </row>
    <row r="818" ht="15.75" customHeight="1">
      <c r="E818" s="49"/>
    </row>
    <row r="819" ht="15.75" customHeight="1">
      <c r="E819" s="49"/>
    </row>
    <row r="820" ht="15.75" customHeight="1">
      <c r="E820" s="49"/>
    </row>
    <row r="821" ht="15.75" customHeight="1">
      <c r="E821" s="49"/>
    </row>
    <row r="822" ht="15.75" customHeight="1">
      <c r="E822" s="49"/>
    </row>
    <row r="823" ht="15.75" customHeight="1">
      <c r="E823" s="49"/>
    </row>
    <row r="824" ht="15.75" customHeight="1">
      <c r="E824" s="49"/>
    </row>
    <row r="825" ht="15.75" customHeight="1">
      <c r="E825" s="49"/>
    </row>
    <row r="826" ht="15.75" customHeight="1">
      <c r="E826" s="49"/>
    </row>
    <row r="827" ht="15.75" customHeight="1">
      <c r="E827" s="49"/>
    </row>
    <row r="828" ht="15.75" customHeight="1">
      <c r="E828" s="49"/>
    </row>
    <row r="829" ht="15.75" customHeight="1">
      <c r="E829" s="49"/>
    </row>
    <row r="830" ht="15.75" customHeight="1">
      <c r="E830" s="49"/>
    </row>
    <row r="831" ht="15.75" customHeight="1">
      <c r="E831" s="49"/>
    </row>
    <row r="832" ht="15.75" customHeight="1">
      <c r="E832" s="49"/>
    </row>
    <row r="833" ht="15.75" customHeight="1">
      <c r="E833" s="49"/>
    </row>
    <row r="834" ht="15.75" customHeight="1">
      <c r="E834" s="49"/>
    </row>
    <row r="835" ht="15.75" customHeight="1">
      <c r="E835" s="49"/>
    </row>
    <row r="836" ht="15.75" customHeight="1">
      <c r="E836" s="49"/>
    </row>
    <row r="837" ht="15.75" customHeight="1">
      <c r="E837" s="49"/>
    </row>
    <row r="838" ht="15.75" customHeight="1">
      <c r="E838" s="49"/>
    </row>
    <row r="839" ht="15.75" customHeight="1">
      <c r="E839" s="49"/>
    </row>
    <row r="840" ht="15.75" customHeight="1">
      <c r="E840" s="49"/>
    </row>
    <row r="841" ht="15.75" customHeight="1">
      <c r="E841" s="49"/>
    </row>
    <row r="842" ht="15.75" customHeight="1">
      <c r="E842" s="49"/>
    </row>
    <row r="843" ht="15.75" customHeight="1">
      <c r="E843" s="49"/>
    </row>
    <row r="844" ht="15.75" customHeight="1">
      <c r="E844" s="49"/>
    </row>
    <row r="845" ht="15.75" customHeight="1">
      <c r="E845" s="49"/>
    </row>
    <row r="846" ht="15.75" customHeight="1">
      <c r="E846" s="49"/>
    </row>
    <row r="847" ht="15.75" customHeight="1">
      <c r="E847" s="49"/>
    </row>
    <row r="848" ht="15.75" customHeight="1">
      <c r="E848" s="49"/>
    </row>
    <row r="849" ht="15.75" customHeight="1">
      <c r="E849" s="49"/>
    </row>
    <row r="850" ht="15.75" customHeight="1">
      <c r="E850" s="49"/>
    </row>
    <row r="851" ht="15.75" customHeight="1">
      <c r="E851" s="49"/>
    </row>
    <row r="852" ht="15.75" customHeight="1">
      <c r="E852" s="49"/>
    </row>
    <row r="853" ht="15.75" customHeight="1">
      <c r="E853" s="49"/>
    </row>
    <row r="854" ht="15.75" customHeight="1">
      <c r="E854" s="49"/>
    </row>
    <row r="855" ht="15.75" customHeight="1">
      <c r="E855" s="49"/>
    </row>
    <row r="856" ht="15.75" customHeight="1">
      <c r="E856" s="49"/>
    </row>
    <row r="857" ht="15.75" customHeight="1">
      <c r="E857" s="49"/>
    </row>
    <row r="858" ht="15.75" customHeight="1">
      <c r="E858" s="49"/>
    </row>
    <row r="859" ht="15.75" customHeight="1">
      <c r="E859" s="49"/>
    </row>
    <row r="860" ht="15.75" customHeight="1">
      <c r="E860" s="49"/>
    </row>
    <row r="861" ht="15.75" customHeight="1">
      <c r="E861" s="49"/>
    </row>
    <row r="862" ht="15.75" customHeight="1">
      <c r="E862" s="49"/>
    </row>
    <row r="863" ht="15.75" customHeight="1">
      <c r="E863" s="49"/>
    </row>
    <row r="864" ht="15.75" customHeight="1">
      <c r="E864" s="49"/>
    </row>
    <row r="865" ht="15.75" customHeight="1">
      <c r="E865" s="49"/>
    </row>
    <row r="866" ht="15.75" customHeight="1">
      <c r="E866" s="49"/>
    </row>
    <row r="867" ht="15.75" customHeight="1">
      <c r="E867" s="49"/>
    </row>
    <row r="868" ht="15.75" customHeight="1">
      <c r="E868" s="49"/>
    </row>
    <row r="869" ht="15.75" customHeight="1">
      <c r="E869" s="49"/>
    </row>
    <row r="870" ht="15.75" customHeight="1">
      <c r="E870" s="49"/>
    </row>
    <row r="871" ht="15.75" customHeight="1">
      <c r="E871" s="49"/>
    </row>
    <row r="872" ht="15.75" customHeight="1">
      <c r="E872" s="49"/>
    </row>
    <row r="873" ht="15.75" customHeight="1">
      <c r="E873" s="49"/>
    </row>
    <row r="874" ht="15.75" customHeight="1">
      <c r="E874" s="49"/>
    </row>
    <row r="875" ht="15.75" customHeight="1">
      <c r="E875" s="49"/>
    </row>
    <row r="876" ht="15.75" customHeight="1">
      <c r="E876" s="49"/>
    </row>
    <row r="877" ht="15.75" customHeight="1">
      <c r="E877" s="49"/>
    </row>
    <row r="878" ht="15.75" customHeight="1">
      <c r="E878" s="49"/>
    </row>
    <row r="879" ht="15.75" customHeight="1">
      <c r="E879" s="49"/>
    </row>
    <row r="880" ht="15.75" customHeight="1">
      <c r="E880" s="49"/>
    </row>
    <row r="881" ht="15.75" customHeight="1">
      <c r="E881" s="49"/>
    </row>
    <row r="882" ht="15.75" customHeight="1">
      <c r="E882" s="49"/>
    </row>
    <row r="883" ht="15.75" customHeight="1">
      <c r="E883" s="49"/>
    </row>
    <row r="884" ht="15.75" customHeight="1">
      <c r="E884" s="49"/>
    </row>
    <row r="885" ht="15.75" customHeight="1">
      <c r="E885" s="49"/>
    </row>
    <row r="886" ht="15.75" customHeight="1">
      <c r="E886" s="49"/>
    </row>
    <row r="887" ht="15.75" customHeight="1">
      <c r="E887" s="49"/>
    </row>
    <row r="888" ht="15.75" customHeight="1">
      <c r="E888" s="49"/>
    </row>
    <row r="889" ht="15.75" customHeight="1">
      <c r="E889" s="49"/>
    </row>
    <row r="890" ht="15.75" customHeight="1">
      <c r="E890" s="49"/>
    </row>
    <row r="891" ht="15.75" customHeight="1">
      <c r="E891" s="49"/>
    </row>
    <row r="892" ht="15.75" customHeight="1">
      <c r="E892" s="49"/>
    </row>
    <row r="893" ht="15.75" customHeight="1">
      <c r="E893" s="49"/>
    </row>
    <row r="894" ht="15.75" customHeight="1">
      <c r="E894" s="49"/>
    </row>
    <row r="895" ht="15.75" customHeight="1">
      <c r="E895" s="49"/>
    </row>
    <row r="896" ht="15.75" customHeight="1">
      <c r="E896" s="49"/>
    </row>
    <row r="897" ht="15.75" customHeight="1">
      <c r="E897" s="49"/>
    </row>
    <row r="898" ht="15.75" customHeight="1">
      <c r="E898" s="49"/>
    </row>
    <row r="899" ht="15.75" customHeight="1">
      <c r="E899" s="49"/>
    </row>
    <row r="900" ht="15.75" customHeight="1">
      <c r="E900" s="49"/>
    </row>
    <row r="901" ht="15.75" customHeight="1">
      <c r="E901" s="49"/>
    </row>
    <row r="902" ht="15.75" customHeight="1">
      <c r="E902" s="49"/>
    </row>
    <row r="903" ht="15.75" customHeight="1">
      <c r="E903" s="49"/>
    </row>
    <row r="904" ht="15.75" customHeight="1">
      <c r="E904" s="49"/>
    </row>
    <row r="905" ht="15.75" customHeight="1">
      <c r="E905" s="49"/>
    </row>
    <row r="906" ht="15.75" customHeight="1">
      <c r="E906" s="49"/>
    </row>
    <row r="907" ht="15.75" customHeight="1">
      <c r="E907" s="49"/>
    </row>
    <row r="908" ht="15.75" customHeight="1">
      <c r="E908" s="49"/>
    </row>
    <row r="909" ht="15.75" customHeight="1">
      <c r="E909" s="49"/>
    </row>
    <row r="910" ht="15.75" customHeight="1">
      <c r="E910" s="49"/>
    </row>
    <row r="911" ht="15.75" customHeight="1">
      <c r="E911" s="49"/>
    </row>
    <row r="912" ht="15.75" customHeight="1">
      <c r="E912" s="49"/>
    </row>
    <row r="913" ht="15.75" customHeight="1">
      <c r="E913" s="49"/>
    </row>
    <row r="914" ht="15.75" customHeight="1">
      <c r="E914" s="49"/>
    </row>
    <row r="915" ht="15.75" customHeight="1">
      <c r="E915" s="49"/>
    </row>
    <row r="916" ht="15.75" customHeight="1">
      <c r="E916" s="49"/>
    </row>
    <row r="917" ht="15.75" customHeight="1">
      <c r="E917" s="49"/>
    </row>
    <row r="918" ht="15.75" customHeight="1">
      <c r="E918" s="49"/>
    </row>
    <row r="919" ht="15.75" customHeight="1">
      <c r="E919" s="49"/>
    </row>
    <row r="920" ht="15.75" customHeight="1">
      <c r="E920" s="49"/>
    </row>
    <row r="921" ht="15.75" customHeight="1">
      <c r="E921" s="49"/>
    </row>
    <row r="922" ht="15.75" customHeight="1">
      <c r="E922" s="49"/>
    </row>
    <row r="923" ht="15.75" customHeight="1">
      <c r="E923" s="49"/>
    </row>
    <row r="924" ht="15.75" customHeight="1">
      <c r="E924" s="49"/>
    </row>
    <row r="925" ht="15.75" customHeight="1">
      <c r="E925" s="49"/>
    </row>
    <row r="926" ht="15.75" customHeight="1">
      <c r="E926" s="49"/>
    </row>
    <row r="927" ht="15.75" customHeight="1">
      <c r="E927" s="49"/>
    </row>
    <row r="928" ht="15.75" customHeight="1">
      <c r="E928" s="49"/>
    </row>
    <row r="929" ht="15.75" customHeight="1">
      <c r="E929" s="49"/>
    </row>
    <row r="930" ht="15.75" customHeight="1">
      <c r="E930" s="49"/>
    </row>
    <row r="931" ht="15.75" customHeight="1">
      <c r="E931" s="49"/>
    </row>
    <row r="932" ht="15.75" customHeight="1">
      <c r="E932" s="49"/>
    </row>
    <row r="933" ht="15.75" customHeight="1">
      <c r="E933" s="49"/>
    </row>
    <row r="934" ht="15.75" customHeight="1">
      <c r="E934" s="49"/>
    </row>
    <row r="935" ht="15.75" customHeight="1">
      <c r="E935" s="49"/>
    </row>
    <row r="936" ht="15.75" customHeight="1">
      <c r="E936" s="49"/>
    </row>
    <row r="937" ht="15.75" customHeight="1">
      <c r="E937" s="49"/>
    </row>
    <row r="938" ht="15.75" customHeight="1">
      <c r="E938" s="49"/>
    </row>
    <row r="939" ht="15.75" customHeight="1">
      <c r="E939" s="49"/>
    </row>
    <row r="940" ht="15.75" customHeight="1">
      <c r="E940" s="49"/>
    </row>
    <row r="941" ht="15.75" customHeight="1">
      <c r="E941" s="49"/>
    </row>
    <row r="942" ht="15.75" customHeight="1">
      <c r="E942" s="49"/>
    </row>
    <row r="943" ht="15.75" customHeight="1">
      <c r="E943" s="49"/>
    </row>
    <row r="944" ht="15.75" customHeight="1">
      <c r="E944" s="49"/>
    </row>
    <row r="945" ht="15.75" customHeight="1">
      <c r="E945" s="49"/>
    </row>
    <row r="946" ht="15.75" customHeight="1">
      <c r="E946" s="49"/>
    </row>
    <row r="947" ht="15.75" customHeight="1">
      <c r="E947" s="49"/>
    </row>
    <row r="948" ht="15.75" customHeight="1">
      <c r="E948" s="49"/>
    </row>
    <row r="949" ht="15.75" customHeight="1">
      <c r="E949" s="49"/>
    </row>
    <row r="950" ht="15.75" customHeight="1">
      <c r="E950" s="49"/>
    </row>
    <row r="951" ht="15.75" customHeight="1">
      <c r="E951" s="49"/>
    </row>
    <row r="952" ht="15.75" customHeight="1">
      <c r="E952" s="49"/>
    </row>
    <row r="953" ht="15.75" customHeight="1">
      <c r="E953" s="49"/>
    </row>
    <row r="954" ht="15.75" customHeight="1">
      <c r="E954" s="49"/>
    </row>
    <row r="955" ht="15.75" customHeight="1">
      <c r="E955" s="49"/>
    </row>
    <row r="956" ht="15.75" customHeight="1">
      <c r="E956" s="49"/>
    </row>
    <row r="957" ht="15.75" customHeight="1">
      <c r="E957" s="49"/>
    </row>
    <row r="958" ht="15.75" customHeight="1">
      <c r="E958" s="49"/>
    </row>
    <row r="959" ht="15.75" customHeight="1">
      <c r="E959" s="49"/>
    </row>
    <row r="960" ht="15.75" customHeight="1">
      <c r="E960" s="49"/>
    </row>
    <row r="961" ht="15.75" customHeight="1">
      <c r="E961" s="49"/>
    </row>
    <row r="962" ht="15.75" customHeight="1">
      <c r="E962" s="49"/>
    </row>
    <row r="963" ht="15.75" customHeight="1">
      <c r="E963" s="49"/>
    </row>
    <row r="964" ht="15.75" customHeight="1">
      <c r="E964" s="49"/>
    </row>
    <row r="965" ht="15.75" customHeight="1">
      <c r="E965" s="49"/>
    </row>
    <row r="966" ht="15.75" customHeight="1">
      <c r="E966" s="49"/>
    </row>
    <row r="967" ht="15.75" customHeight="1">
      <c r="E967" s="49"/>
    </row>
    <row r="968" ht="15.75" customHeight="1">
      <c r="E968" s="49"/>
    </row>
    <row r="969" ht="15.75" customHeight="1">
      <c r="E969" s="49"/>
    </row>
    <row r="970" ht="15.75" customHeight="1">
      <c r="E970" s="49"/>
    </row>
    <row r="971" ht="15.75" customHeight="1">
      <c r="E971" s="49"/>
    </row>
    <row r="972" ht="15.75" customHeight="1">
      <c r="E972" s="49"/>
    </row>
    <row r="973" ht="15.75" customHeight="1">
      <c r="E973" s="49"/>
    </row>
    <row r="974" ht="15.75" customHeight="1">
      <c r="E974" s="49"/>
    </row>
    <row r="975" ht="15.75" customHeight="1">
      <c r="E975" s="49"/>
    </row>
    <row r="976" ht="15.75" customHeight="1">
      <c r="E976" s="49"/>
    </row>
    <row r="977" ht="15.75" customHeight="1">
      <c r="E977" s="49"/>
    </row>
    <row r="978" ht="15.75" customHeight="1">
      <c r="E978" s="49"/>
    </row>
    <row r="979" ht="15.75" customHeight="1">
      <c r="E979" s="49"/>
    </row>
    <row r="980" ht="15.75" customHeight="1">
      <c r="E980" s="49"/>
    </row>
    <row r="981" ht="15.75" customHeight="1">
      <c r="E981" s="49"/>
    </row>
    <row r="982" ht="15.75" customHeight="1">
      <c r="E982" s="49"/>
    </row>
    <row r="983" ht="15.75" customHeight="1">
      <c r="E983" s="49"/>
    </row>
    <row r="984" ht="15.75" customHeight="1">
      <c r="E984" s="49"/>
    </row>
    <row r="985" ht="15.75" customHeight="1">
      <c r="E985" s="49"/>
    </row>
    <row r="986" ht="15.75" customHeight="1">
      <c r="E986" s="49"/>
    </row>
    <row r="987" ht="15.75" customHeight="1">
      <c r="E987" s="49"/>
    </row>
    <row r="988" ht="15.75" customHeight="1">
      <c r="E988" s="49"/>
    </row>
    <row r="989" ht="15.75" customHeight="1">
      <c r="E989" s="49"/>
    </row>
    <row r="990" ht="15.75" customHeight="1">
      <c r="E990" s="49"/>
    </row>
    <row r="991" ht="15.75" customHeight="1">
      <c r="E991" s="49"/>
    </row>
    <row r="992" ht="15.75" customHeight="1">
      <c r="E992" s="49"/>
    </row>
    <row r="993" ht="15.75" customHeight="1">
      <c r="E993" s="49"/>
    </row>
    <row r="994" ht="15.75" customHeight="1">
      <c r="E994" s="49"/>
    </row>
    <row r="995" ht="15.75" customHeight="1">
      <c r="E995" s="49"/>
    </row>
    <row r="996" ht="15.75" customHeight="1">
      <c r="E996" s="49"/>
    </row>
    <row r="997" ht="15.75" customHeight="1">
      <c r="E997" s="49"/>
    </row>
    <row r="998" ht="15.75" customHeight="1">
      <c r="E998" s="49"/>
    </row>
    <row r="999" ht="15.75" customHeight="1">
      <c r="E999" s="49"/>
    </row>
    <row r="1000" ht="15.75" customHeight="1">
      <c r="E1000" s="49"/>
    </row>
  </sheetData>
  <mergeCells count="4">
    <mergeCell ref="A1:D1"/>
    <mergeCell ref="F1:I1"/>
    <mergeCell ref="A2:D2"/>
    <mergeCell ref="F2:I2"/>
  </mergeCell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7.29"/>
    <col customWidth="1" min="2" max="2" width="20.71"/>
    <col customWidth="1" min="3" max="3" width="14.43"/>
    <col customWidth="1" min="4" max="4" width="11.57"/>
    <col customWidth="1" min="5" max="6" width="8.86"/>
    <col customWidth="1" min="7" max="7" width="9.71"/>
    <col customWidth="1" min="8" max="26" width="8.86"/>
  </cols>
  <sheetData>
    <row r="1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>
      <c r="A3" s="272" t="s">
        <v>215</v>
      </c>
      <c r="B3" s="110"/>
      <c r="C3" s="110"/>
      <c r="D3" s="110"/>
      <c r="E3" s="110"/>
      <c r="F3" s="110"/>
      <c r="G3" s="110"/>
      <c r="H3" s="110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>
      <c r="A4" s="273" t="s">
        <v>216</v>
      </c>
      <c r="B4" s="262"/>
      <c r="C4" s="262"/>
      <c r="D4" s="262"/>
      <c r="E4" s="262"/>
      <c r="F4" s="262"/>
      <c r="G4" s="262"/>
      <c r="H4" s="81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A5" s="274" t="s">
        <v>4</v>
      </c>
      <c r="B5" s="275" t="s">
        <v>217</v>
      </c>
      <c r="C5" s="276" t="s">
        <v>9</v>
      </c>
      <c r="D5" s="36" t="s">
        <v>218</v>
      </c>
      <c r="E5" s="36" t="s">
        <v>219</v>
      </c>
      <c r="F5" s="36" t="s">
        <v>220</v>
      </c>
      <c r="G5" s="36" t="s">
        <v>221</v>
      </c>
      <c r="H5" s="20" t="s">
        <v>204</v>
      </c>
      <c r="I5" s="36" t="s">
        <v>5</v>
      </c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21" t="s">
        <v>12</v>
      </c>
      <c r="B6" s="101">
        <v>30.0</v>
      </c>
      <c r="C6" s="22">
        <v>28770.0</v>
      </c>
      <c r="D6" s="11">
        <v>30.0</v>
      </c>
      <c r="E6" s="11">
        <f t="shared" ref="E6:E8" si="1">+B6*D6/100</f>
        <v>9</v>
      </c>
      <c r="F6" s="89">
        <f t="shared" ref="F6:F8" si="2">+C6/E6</f>
        <v>3196.666667</v>
      </c>
      <c r="G6" s="89" t="str">
        <f>+'REPORT DATA SHEET'!M58</f>
        <v>#DIV/0!</v>
      </c>
      <c r="H6" s="89" t="str">
        <f t="shared" ref="H6:H8" si="3">+F6-G6</f>
        <v>#DIV/0!</v>
      </c>
      <c r="I6" s="92">
        <f t="shared" ref="I6:I8" si="4">+C6/B6</f>
        <v>959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21" t="s">
        <v>189</v>
      </c>
      <c r="B7" s="101">
        <v>470.0</v>
      </c>
      <c r="C7" s="22">
        <v>747550.0</v>
      </c>
      <c r="D7" s="11">
        <v>50.0</v>
      </c>
      <c r="E7" s="11">
        <f t="shared" si="1"/>
        <v>235</v>
      </c>
      <c r="F7" s="89">
        <f t="shared" si="2"/>
        <v>3181.06383</v>
      </c>
      <c r="G7" s="89" t="str">
        <f>+'REPORT DATA SHEET'!M58</f>
        <v>#DIV/0!</v>
      </c>
      <c r="H7" s="89" t="str">
        <f t="shared" si="3"/>
        <v>#DIV/0!</v>
      </c>
      <c r="I7" s="92">
        <f t="shared" si="4"/>
        <v>1590.531915</v>
      </c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21" t="s">
        <v>24</v>
      </c>
      <c r="B8" s="101">
        <v>10.0</v>
      </c>
      <c r="C8" s="22">
        <v>16710.0</v>
      </c>
      <c r="D8" s="11">
        <v>50.0</v>
      </c>
      <c r="E8" s="11">
        <f t="shared" si="1"/>
        <v>5</v>
      </c>
      <c r="F8" s="89">
        <f t="shared" si="2"/>
        <v>3342</v>
      </c>
      <c r="G8" s="89" t="str">
        <f>+'REPORT DATA SHEET'!M58</f>
        <v>#DIV/0!</v>
      </c>
      <c r="H8" s="89" t="str">
        <f t="shared" si="3"/>
        <v>#DIV/0!</v>
      </c>
      <c r="I8" s="92">
        <f t="shared" si="4"/>
        <v>1671</v>
      </c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277"/>
      <c r="B9" s="278"/>
      <c r="C9" s="279"/>
      <c r="D9" s="11"/>
      <c r="E9" s="11"/>
      <c r="F9" s="89"/>
      <c r="G9" s="89"/>
      <c r="H9" s="11"/>
      <c r="I9" s="92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21"/>
      <c r="B10" s="101"/>
      <c r="C10" s="22"/>
      <c r="D10" s="188"/>
      <c r="E10" s="280"/>
      <c r="F10" s="188"/>
      <c r="G10" s="188"/>
      <c r="H10" s="281"/>
      <c r="I10" s="188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282" t="s">
        <v>39</v>
      </c>
      <c r="B11" s="283">
        <f t="shared" ref="B11:C11" si="5">SUM(B6:B10)</f>
        <v>510</v>
      </c>
      <c r="C11" s="283">
        <f t="shared" si="5"/>
        <v>793030</v>
      </c>
      <c r="D11" s="284"/>
      <c r="E11" s="283">
        <f>SUM(E6:E10)</f>
        <v>249</v>
      </c>
      <c r="F11" s="285">
        <f>+C11/E11</f>
        <v>3184.859438</v>
      </c>
      <c r="G11" s="285" t="str">
        <f>+G6</f>
        <v>#DIV/0!</v>
      </c>
      <c r="H11" s="286" t="str">
        <f>+F11-G11</f>
        <v>#DIV/0!</v>
      </c>
      <c r="I11" s="11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18"/>
      <c r="B12" s="287"/>
      <c r="C12" s="32"/>
      <c r="D12" s="11"/>
      <c r="E12" s="11"/>
      <c r="F12" s="11"/>
      <c r="G12" s="11"/>
      <c r="H12" s="18"/>
      <c r="I12" s="11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273" t="s">
        <v>222</v>
      </c>
      <c r="B13" s="262"/>
      <c r="C13" s="262"/>
      <c r="D13" s="262"/>
      <c r="E13" s="262"/>
      <c r="F13" s="262"/>
      <c r="G13" s="262"/>
      <c r="H13" s="288"/>
      <c r="I13" s="11"/>
      <c r="J13" s="49"/>
      <c r="K13" s="49"/>
      <c r="L13" s="49"/>
      <c r="M13" s="49">
        <v>130.0</v>
      </c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274" t="s">
        <v>4</v>
      </c>
      <c r="B14" s="275" t="s">
        <v>217</v>
      </c>
      <c r="C14" s="276" t="s">
        <v>9</v>
      </c>
      <c r="D14" s="36" t="s">
        <v>218</v>
      </c>
      <c r="E14" s="36" t="s">
        <v>219</v>
      </c>
      <c r="F14" s="36" t="s">
        <v>220</v>
      </c>
      <c r="G14" s="36" t="s">
        <v>221</v>
      </c>
      <c r="H14" s="20" t="s">
        <v>204</v>
      </c>
      <c r="I14" s="36" t="s">
        <v>5</v>
      </c>
      <c r="J14" s="49"/>
      <c r="K14" s="49"/>
      <c r="L14" s="49"/>
      <c r="M14" s="49">
        <v>80.0</v>
      </c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27"/>
      <c r="B15" s="85"/>
      <c r="C15" s="50"/>
      <c r="D15" s="11">
        <v>50.0</v>
      </c>
      <c r="E15" s="11">
        <f>+B15*D15/100</f>
        <v>0</v>
      </c>
      <c r="F15" s="89" t="str">
        <f>+C15/E15</f>
        <v>#DIV/0!</v>
      </c>
      <c r="G15" s="89" t="str">
        <f>+G11</f>
        <v>#DIV/0!</v>
      </c>
      <c r="H15" s="11" t="str">
        <f>+F15-G15</f>
        <v>#DIV/0!</v>
      </c>
      <c r="I15" s="92" t="str">
        <f>+C15/B15</f>
        <v>#DIV/0!</v>
      </c>
      <c r="J15" s="49"/>
      <c r="K15" s="49"/>
      <c r="L15" s="49"/>
      <c r="M15" s="49">
        <f>+M13*M14</f>
        <v>10400</v>
      </c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21"/>
      <c r="B16" s="101"/>
      <c r="C16" s="22"/>
      <c r="D16" s="188"/>
      <c r="E16" s="188"/>
      <c r="F16" s="289"/>
      <c r="G16" s="289"/>
      <c r="H16" s="188"/>
      <c r="I16" s="290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27"/>
      <c r="B17" s="85"/>
      <c r="C17" s="50"/>
      <c r="D17" s="11"/>
      <c r="E17" s="11"/>
      <c r="F17" s="89"/>
      <c r="G17" s="89"/>
      <c r="H17" s="11"/>
      <c r="I17" s="8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27"/>
      <c r="B18" s="85"/>
      <c r="C18" s="50"/>
      <c r="D18" s="11"/>
      <c r="E18" s="11"/>
      <c r="F18" s="89"/>
      <c r="G18" s="89"/>
      <c r="H18" s="11"/>
      <c r="I18" s="8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27"/>
      <c r="B19" s="85"/>
      <c r="C19" s="50"/>
      <c r="D19" s="11"/>
      <c r="E19" s="11"/>
      <c r="F19" s="89"/>
      <c r="G19" s="89"/>
      <c r="H19" s="11"/>
      <c r="I19" s="8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21"/>
      <c r="B20" s="101"/>
      <c r="C20" s="22"/>
      <c r="D20" s="188"/>
      <c r="E20" s="291"/>
      <c r="F20" s="289"/>
      <c r="G20" s="289"/>
      <c r="H20" s="281"/>
      <c r="I20" s="28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282" t="s">
        <v>39</v>
      </c>
      <c r="B21" s="292">
        <f t="shared" ref="B21:C21" si="6">SUM(B15:B19)</f>
        <v>0</v>
      </c>
      <c r="C21" s="292">
        <f t="shared" si="6"/>
        <v>0</v>
      </c>
      <c r="D21" s="284">
        <v>0.0</v>
      </c>
      <c r="E21" s="292">
        <f>SUM(E15:E19)</f>
        <v>0</v>
      </c>
      <c r="F21" s="285" t="str">
        <f>+C21/E21</f>
        <v>#DIV/0!</v>
      </c>
      <c r="G21" s="285" t="str">
        <f>+G11</f>
        <v>#DIV/0!</v>
      </c>
      <c r="H21" s="286" t="str">
        <f>+F21-G21</f>
        <v>#DIV/0!</v>
      </c>
      <c r="I21" s="11"/>
      <c r="J21" s="49">
        <v>1321.0</v>
      </c>
      <c r="K21" s="22">
        <f>+B21-J21</f>
        <v>-1321</v>
      </c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18"/>
      <c r="B22" s="287"/>
      <c r="C22" s="32"/>
      <c r="D22" s="11"/>
      <c r="E22" s="11"/>
      <c r="F22" s="11"/>
      <c r="G22" s="11"/>
      <c r="H22" s="18"/>
      <c r="I22" s="11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273" t="s">
        <v>223</v>
      </c>
      <c r="B23" s="262"/>
      <c r="C23" s="262"/>
      <c r="D23" s="262"/>
      <c r="E23" s="262"/>
      <c r="F23" s="262"/>
      <c r="G23" s="262"/>
      <c r="H23" s="288"/>
      <c r="I23" s="11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274" t="s">
        <v>4</v>
      </c>
      <c r="B24" s="275" t="s">
        <v>217</v>
      </c>
      <c r="C24" s="276" t="s">
        <v>9</v>
      </c>
      <c r="D24" s="36" t="s">
        <v>218</v>
      </c>
      <c r="E24" s="36" t="s">
        <v>219</v>
      </c>
      <c r="F24" s="36" t="s">
        <v>220</v>
      </c>
      <c r="G24" s="36" t="s">
        <v>221</v>
      </c>
      <c r="H24" s="20" t="s">
        <v>204</v>
      </c>
      <c r="I24" s="11" t="s">
        <v>5</v>
      </c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27" t="s">
        <v>13</v>
      </c>
      <c r="B25" s="85">
        <v>120.0</v>
      </c>
      <c r="C25" s="50">
        <v>117600.0</v>
      </c>
      <c r="D25" s="11">
        <v>30.0</v>
      </c>
      <c r="E25" s="11">
        <f t="shared" ref="E25:E30" si="7">+B25*D25/100</f>
        <v>36</v>
      </c>
      <c r="F25" s="89">
        <f t="shared" ref="F25:F30" si="8">+C25/E25</f>
        <v>3266.666667</v>
      </c>
      <c r="G25" s="89" t="str">
        <f>+G11</f>
        <v>#DIV/0!</v>
      </c>
      <c r="H25" s="92" t="str">
        <f t="shared" ref="H25:H30" si="9">+F25-G25</f>
        <v>#DIV/0!</v>
      </c>
      <c r="I25" s="89">
        <f t="shared" ref="I25:I27" si="10">+C25/B25</f>
        <v>980</v>
      </c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27" t="s">
        <v>11</v>
      </c>
      <c r="B26" s="85">
        <v>255.0</v>
      </c>
      <c r="C26" s="50">
        <v>417900.0</v>
      </c>
      <c r="D26" s="11">
        <v>50.0</v>
      </c>
      <c r="E26" s="11">
        <f t="shared" si="7"/>
        <v>127.5</v>
      </c>
      <c r="F26" s="89">
        <f t="shared" si="8"/>
        <v>3277.647059</v>
      </c>
      <c r="G26" s="89" t="str">
        <f t="shared" ref="G26:G30" si="11">+G25</f>
        <v>#DIV/0!</v>
      </c>
      <c r="H26" s="92" t="str">
        <f t="shared" si="9"/>
        <v>#DIV/0!</v>
      </c>
      <c r="I26" s="89">
        <f t="shared" si="10"/>
        <v>1638.823529</v>
      </c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27" t="s">
        <v>27</v>
      </c>
      <c r="B27" s="85">
        <v>82.0</v>
      </c>
      <c r="C27" s="50">
        <v>85140.0</v>
      </c>
      <c r="D27" s="11">
        <v>30.0</v>
      </c>
      <c r="E27" s="11">
        <f t="shared" si="7"/>
        <v>24.6</v>
      </c>
      <c r="F27" s="89">
        <f t="shared" si="8"/>
        <v>3460.97561</v>
      </c>
      <c r="G27" s="89" t="str">
        <f t="shared" si="11"/>
        <v>#DIV/0!</v>
      </c>
      <c r="H27" s="92" t="str">
        <f t="shared" si="9"/>
        <v>#DIV/0!</v>
      </c>
      <c r="I27" s="89">
        <f t="shared" si="10"/>
        <v>1038.292683</v>
      </c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27" t="s">
        <v>25</v>
      </c>
      <c r="B28" s="85">
        <v>250.0</v>
      </c>
      <c r="C28" s="50">
        <v>435000.0</v>
      </c>
      <c r="D28" s="11">
        <v>50.0</v>
      </c>
      <c r="E28" s="11">
        <f t="shared" si="7"/>
        <v>125</v>
      </c>
      <c r="F28" s="89">
        <f t="shared" si="8"/>
        <v>3480</v>
      </c>
      <c r="G28" s="89" t="str">
        <f t="shared" si="11"/>
        <v>#DIV/0!</v>
      </c>
      <c r="H28" s="92" t="str">
        <f t="shared" si="9"/>
        <v>#DIV/0!</v>
      </c>
      <c r="I28" s="8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27" t="s">
        <v>22</v>
      </c>
      <c r="B29" s="85">
        <v>12.0</v>
      </c>
      <c r="C29" s="50">
        <v>12600.0</v>
      </c>
      <c r="D29" s="11">
        <v>30.0</v>
      </c>
      <c r="E29" s="11">
        <f t="shared" si="7"/>
        <v>3.6</v>
      </c>
      <c r="F29" s="89">
        <f t="shared" si="8"/>
        <v>3500</v>
      </c>
      <c r="G29" s="89" t="str">
        <f t="shared" si="11"/>
        <v>#DIV/0!</v>
      </c>
      <c r="H29" s="92" t="str">
        <f t="shared" si="9"/>
        <v>#DIV/0!</v>
      </c>
      <c r="I29" s="8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27" t="s">
        <v>29</v>
      </c>
      <c r="B30" s="85">
        <v>45.0</v>
      </c>
      <c r="C30" s="50">
        <v>79200.0</v>
      </c>
      <c r="D30" s="11">
        <v>50.0</v>
      </c>
      <c r="E30" s="11">
        <f t="shared" si="7"/>
        <v>22.5</v>
      </c>
      <c r="F30" s="89">
        <f t="shared" si="8"/>
        <v>3520</v>
      </c>
      <c r="G30" s="89" t="str">
        <f t="shared" si="11"/>
        <v>#DIV/0!</v>
      </c>
      <c r="H30" s="92" t="str">
        <f t="shared" si="9"/>
        <v>#DIV/0!</v>
      </c>
      <c r="I30" s="8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21"/>
      <c r="B31" s="101"/>
      <c r="C31" s="22"/>
      <c r="D31" s="188"/>
      <c r="E31" s="188"/>
      <c r="F31" s="289"/>
      <c r="G31" s="289"/>
      <c r="H31" s="290"/>
      <c r="I31" s="28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284" t="s">
        <v>39</v>
      </c>
      <c r="B32" s="293">
        <f t="shared" ref="B32:C32" si="12">SUM(B25:B31)</f>
        <v>764</v>
      </c>
      <c r="C32" s="293">
        <f t="shared" si="12"/>
        <v>1147440</v>
      </c>
      <c r="D32" s="284">
        <v>0.0</v>
      </c>
      <c r="E32" s="293">
        <f>SUM(E25:E31)</f>
        <v>339.2</v>
      </c>
      <c r="F32" s="285">
        <f>+C32/E32</f>
        <v>3382.783019</v>
      </c>
      <c r="G32" s="285" t="str">
        <f>+G21</f>
        <v>#DIV/0!</v>
      </c>
      <c r="H32" s="282" t="str">
        <f>+F32-G32</f>
        <v>#DIV/0!</v>
      </c>
      <c r="I32" s="11">
        <f>+C32/B32</f>
        <v>1501.884817</v>
      </c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294"/>
      <c r="B33" s="294"/>
      <c r="C33" s="294"/>
      <c r="D33" s="294"/>
      <c r="E33" s="294"/>
      <c r="F33" s="294"/>
      <c r="G33" s="295"/>
      <c r="H33" s="295"/>
      <c r="I33" s="196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Y33" s="178"/>
      <c r="Z33" s="178"/>
    </row>
    <row r="34" ht="15.75" customHeight="1">
      <c r="A34" s="294"/>
      <c r="B34" s="294"/>
      <c r="C34" s="294"/>
      <c r="D34" s="294"/>
      <c r="E34" s="294"/>
      <c r="F34" s="294"/>
      <c r="G34" s="295"/>
      <c r="H34" s="295"/>
      <c r="I34" s="196"/>
      <c r="J34" s="178"/>
      <c r="K34" s="178"/>
      <c r="L34" s="178"/>
      <c r="M34" s="178"/>
      <c r="N34" s="178"/>
      <c r="O34" s="178"/>
      <c r="P34" s="178"/>
      <c r="Q34" s="178"/>
      <c r="R34" s="178"/>
      <c r="S34" s="178"/>
      <c r="T34" s="178"/>
      <c r="U34" s="178"/>
      <c r="V34" s="178"/>
      <c r="W34" s="178"/>
      <c r="X34" s="178"/>
      <c r="Y34" s="178"/>
      <c r="Z34" s="178"/>
    </row>
    <row r="35" ht="15.75" customHeight="1">
      <c r="A35" s="273" t="s">
        <v>224</v>
      </c>
      <c r="B35" s="262"/>
      <c r="C35" s="262"/>
      <c r="D35" s="262"/>
      <c r="E35" s="262"/>
      <c r="F35" s="262"/>
      <c r="G35" s="262"/>
      <c r="H35" s="288"/>
      <c r="I35" s="196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8"/>
      <c r="U35" s="178"/>
      <c r="V35" s="178"/>
      <c r="W35" s="178"/>
      <c r="X35" s="178"/>
      <c r="Y35" s="178"/>
      <c r="Z35" s="178"/>
    </row>
    <row r="36" ht="15.75" customHeight="1">
      <c r="A36" s="274" t="s">
        <v>4</v>
      </c>
      <c r="B36" s="275" t="s">
        <v>217</v>
      </c>
      <c r="C36" s="276" t="s">
        <v>9</v>
      </c>
      <c r="D36" s="36" t="s">
        <v>218</v>
      </c>
      <c r="E36" s="36" t="s">
        <v>219</v>
      </c>
      <c r="F36" s="36" t="s">
        <v>220</v>
      </c>
      <c r="G36" s="36" t="s">
        <v>221</v>
      </c>
      <c r="H36" s="20" t="s">
        <v>204</v>
      </c>
      <c r="I36" s="196" t="s">
        <v>217</v>
      </c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178"/>
      <c r="U36" s="178"/>
      <c r="V36" s="178"/>
      <c r="W36" s="178"/>
      <c r="X36" s="178"/>
      <c r="Y36" s="178"/>
      <c r="Z36" s="178"/>
    </row>
    <row r="37" ht="15.75" customHeight="1">
      <c r="A37" s="21"/>
      <c r="B37" s="101"/>
      <c r="C37" s="22"/>
      <c r="D37" s="11">
        <v>49.0</v>
      </c>
      <c r="E37" s="11">
        <f t="shared" ref="E37:E38" si="13">+B37*D37/100</f>
        <v>0</v>
      </c>
      <c r="F37" s="11" t="str">
        <f t="shared" ref="F37:F38" si="14">+C37/E37</f>
        <v>#DIV/0!</v>
      </c>
      <c r="G37" s="89" t="str">
        <f>+G32</f>
        <v>#DIV/0!</v>
      </c>
      <c r="H37" s="296" t="str">
        <f t="shared" ref="H37:H38" si="15">+F37-G37</f>
        <v>#DIV/0!</v>
      </c>
      <c r="I37" s="89" t="str">
        <f t="shared" ref="I37:I38" si="16">+C37/B37</f>
        <v>#DIV/0!</v>
      </c>
      <c r="J37" s="178"/>
      <c r="K37" s="178"/>
      <c r="L37" s="178"/>
      <c r="M37" s="178"/>
      <c r="N37" s="178"/>
      <c r="O37" s="178"/>
      <c r="P37" s="178"/>
      <c r="Q37" s="178"/>
      <c r="R37" s="178"/>
      <c r="S37" s="178"/>
      <c r="T37" s="178"/>
      <c r="U37" s="178"/>
      <c r="V37" s="178"/>
      <c r="W37" s="178"/>
      <c r="X37" s="178"/>
      <c r="Y37" s="178"/>
      <c r="Z37" s="178"/>
    </row>
    <row r="38" ht="15.75" customHeight="1">
      <c r="A38" s="21"/>
      <c r="B38" s="101"/>
      <c r="C38" s="22"/>
      <c r="D38" s="11">
        <v>49.0</v>
      </c>
      <c r="E38" s="11">
        <f t="shared" si="13"/>
        <v>0</v>
      </c>
      <c r="F38" s="11" t="str">
        <f t="shared" si="14"/>
        <v>#DIV/0!</v>
      </c>
      <c r="G38" s="89" t="str">
        <f>+G37</f>
        <v>#DIV/0!</v>
      </c>
      <c r="H38" s="296" t="str">
        <f t="shared" si="15"/>
        <v>#DIV/0!</v>
      </c>
      <c r="I38" s="89" t="str">
        <f t="shared" si="16"/>
        <v>#DIV/0!</v>
      </c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</row>
    <row r="39" ht="15.75" customHeight="1">
      <c r="A39" s="27"/>
      <c r="B39" s="85"/>
      <c r="C39" s="50"/>
      <c r="D39" s="11"/>
      <c r="E39" s="11"/>
      <c r="F39" s="11"/>
      <c r="G39" s="11"/>
      <c r="H39" s="18"/>
      <c r="I39" s="196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78"/>
      <c r="U39" s="178"/>
      <c r="V39" s="178"/>
      <c r="W39" s="178"/>
      <c r="X39" s="178"/>
      <c r="Y39" s="178"/>
      <c r="Z39" s="178"/>
    </row>
    <row r="40" ht="15.75" customHeight="1">
      <c r="A40" s="282" t="s">
        <v>39</v>
      </c>
      <c r="B40" s="283">
        <f t="shared" ref="B40:C40" si="17">SUM(B37:B38)</f>
        <v>0</v>
      </c>
      <c r="C40" s="283">
        <f t="shared" si="17"/>
        <v>0</v>
      </c>
      <c r="D40" s="284"/>
      <c r="E40" s="284">
        <f>SUM(E37:E38)</f>
        <v>0</v>
      </c>
      <c r="F40" s="284" t="str">
        <f>+C40/E40</f>
        <v>#DIV/0!</v>
      </c>
      <c r="G40" s="285" t="str">
        <f>+G32</f>
        <v>#DIV/0!</v>
      </c>
      <c r="H40" s="282" t="str">
        <f>+F40-G40</f>
        <v>#DIV/0!</v>
      </c>
      <c r="I40" s="196"/>
      <c r="J40" s="178"/>
      <c r="K40" s="178"/>
      <c r="L40" s="178"/>
      <c r="M40" s="178"/>
      <c r="N40" s="178"/>
      <c r="O40" s="178"/>
      <c r="P40" s="178"/>
      <c r="Q40" s="178"/>
      <c r="R40" s="178"/>
      <c r="S40" s="178"/>
      <c r="T40" s="178"/>
      <c r="U40" s="178"/>
      <c r="V40" s="178"/>
      <c r="W40" s="178"/>
      <c r="X40" s="178"/>
      <c r="Y40" s="178"/>
      <c r="Z40" s="178"/>
    </row>
    <row r="41" ht="15.75" customHeight="1">
      <c r="A41" s="294"/>
      <c r="B41" s="294"/>
      <c r="C41" s="294"/>
      <c r="D41" s="294"/>
      <c r="E41" s="294"/>
      <c r="F41" s="294"/>
      <c r="G41" s="295"/>
      <c r="H41" s="295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178"/>
      <c r="Y41" s="178"/>
      <c r="Z41" s="178"/>
    </row>
    <row r="42" ht="15.75" customHeight="1">
      <c r="A42" s="11"/>
      <c r="B42" s="11"/>
      <c r="C42" s="11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297" t="s">
        <v>225</v>
      </c>
      <c r="B44" s="297" t="s">
        <v>226</v>
      </c>
      <c r="C44" s="297" t="s">
        <v>219</v>
      </c>
      <c r="D44" s="297" t="s">
        <v>227</v>
      </c>
      <c r="E44" s="297" t="s">
        <v>40</v>
      </c>
      <c r="F44" s="297" t="s">
        <v>221</v>
      </c>
      <c r="G44" s="297" t="s">
        <v>204</v>
      </c>
      <c r="H44" s="11" t="s">
        <v>226</v>
      </c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11" t="s">
        <v>228</v>
      </c>
      <c r="B45" s="50">
        <f>+B11</f>
        <v>510</v>
      </c>
      <c r="C45" s="50">
        <f>+E11</f>
        <v>249</v>
      </c>
      <c r="D45" s="50">
        <f>+C11</f>
        <v>793030</v>
      </c>
      <c r="E45" s="89">
        <f t="shared" ref="E45:E49" si="18">+D45/C45</f>
        <v>3184.859438</v>
      </c>
      <c r="F45" s="89" t="str">
        <f>+G40</f>
        <v>#DIV/0!</v>
      </c>
      <c r="G45" s="11" t="str">
        <f t="shared" ref="G45:G49" si="19">+E45-F45</f>
        <v>#DIV/0!</v>
      </c>
      <c r="H45" s="11">
        <f t="shared" ref="H45:H48" si="20">+D45/B45</f>
        <v>1554.960784</v>
      </c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11" t="s">
        <v>223</v>
      </c>
      <c r="B46" s="85">
        <f>+B32</f>
        <v>764</v>
      </c>
      <c r="C46" s="85">
        <f>+E32</f>
        <v>339.2</v>
      </c>
      <c r="D46" s="85">
        <f>+C32</f>
        <v>1147440</v>
      </c>
      <c r="E46" s="89">
        <f t="shared" si="18"/>
        <v>3382.783019</v>
      </c>
      <c r="F46" s="89" t="str">
        <f t="shared" ref="F46:F48" si="21">+F45</f>
        <v>#DIV/0!</v>
      </c>
      <c r="G46" s="11" t="str">
        <f t="shared" si="19"/>
        <v>#DIV/0!</v>
      </c>
      <c r="H46" s="11">
        <f t="shared" si="20"/>
        <v>1501.884817</v>
      </c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11" t="s">
        <v>229</v>
      </c>
      <c r="B47" s="50">
        <f>+B21</f>
        <v>0</v>
      </c>
      <c r="C47" s="50">
        <f>+E21</f>
        <v>0</v>
      </c>
      <c r="D47" s="50">
        <f>+C21</f>
        <v>0</v>
      </c>
      <c r="E47" s="89" t="str">
        <f t="shared" si="18"/>
        <v>#DIV/0!</v>
      </c>
      <c r="F47" s="89" t="str">
        <f t="shared" si="21"/>
        <v>#DIV/0!</v>
      </c>
      <c r="G47" s="11" t="str">
        <f t="shared" si="19"/>
        <v>#DIV/0!</v>
      </c>
      <c r="H47" s="11" t="str">
        <f t="shared" si="20"/>
        <v>#DIV/0!</v>
      </c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11" t="s">
        <v>230</v>
      </c>
      <c r="B48" s="85">
        <f>+B40</f>
        <v>0</v>
      </c>
      <c r="C48" s="11">
        <f>+E40</f>
        <v>0</v>
      </c>
      <c r="D48" s="50">
        <f>+C40</f>
        <v>0</v>
      </c>
      <c r="E48" s="89" t="str">
        <f t="shared" si="18"/>
        <v>#DIV/0!</v>
      </c>
      <c r="F48" s="89" t="str">
        <f t="shared" si="21"/>
        <v>#DIV/0!</v>
      </c>
      <c r="G48" s="11" t="str">
        <f t="shared" si="19"/>
        <v>#DIV/0!</v>
      </c>
      <c r="H48" s="11" t="str">
        <f t="shared" si="20"/>
        <v>#DIV/0!</v>
      </c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284" t="s">
        <v>39</v>
      </c>
      <c r="B49" s="298">
        <f>+B45+B46+B47+B48</f>
        <v>1274</v>
      </c>
      <c r="C49" s="298">
        <f t="shared" ref="C49:D49" si="22">SUM(C45:C48)</f>
        <v>588.2</v>
      </c>
      <c r="D49" s="298">
        <f t="shared" si="22"/>
        <v>1940470</v>
      </c>
      <c r="E49" s="285">
        <f t="shared" si="18"/>
        <v>3298.99694</v>
      </c>
      <c r="F49" s="285" t="str">
        <f>+F45</f>
        <v>#DIV/0!</v>
      </c>
      <c r="G49" s="285" t="str">
        <f t="shared" si="19"/>
        <v>#DIV/0!</v>
      </c>
      <c r="H49" s="11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9"/>
      <c r="B50" s="49"/>
      <c r="C50" s="63"/>
      <c r="D50" s="158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9"/>
      <c r="B51" s="42">
        <f>+'REPORT DATA SHEET'!G22</f>
        <v>24473</v>
      </c>
      <c r="C51" s="42">
        <f>+'REPORT DATA SHEET'!I22</f>
        <v>11721.29</v>
      </c>
      <c r="D51" s="42">
        <f>+'REPORT DATA SHEET'!K22</f>
        <v>0</v>
      </c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9"/>
      <c r="B52" s="42">
        <f t="shared" ref="B52:D52" si="23">+B49-B51</f>
        <v>-23199</v>
      </c>
      <c r="C52" s="42">
        <f t="shared" si="23"/>
        <v>-11133.09</v>
      </c>
      <c r="D52" s="42">
        <f t="shared" si="23"/>
        <v>1940470</v>
      </c>
      <c r="E52" s="49"/>
      <c r="F52" s="49"/>
      <c r="G52" s="49">
        <v>27.0</v>
      </c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49"/>
      <c r="B53" s="42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5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5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5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5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5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5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5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5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5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5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5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5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5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5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5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5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5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5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5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5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5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5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5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5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5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5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5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5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5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5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5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5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5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5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5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5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5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5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5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5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5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5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5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5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5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5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5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5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5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5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5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5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5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5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5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5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5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5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5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5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5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5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5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5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5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5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5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5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5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5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5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5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5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5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5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5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5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5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5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5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5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5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5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5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5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5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5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5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5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5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5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5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5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5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5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5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5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5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5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5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5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5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5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5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5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5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5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5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5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5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5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5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5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5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5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5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5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5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5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5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5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5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5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5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5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5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5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5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5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5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5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5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5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5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5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5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5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5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5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5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5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5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5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5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5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5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5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5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5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5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5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5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5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5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5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5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5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5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5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5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5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5.7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5.7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5.7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5.7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5.7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5.7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5.7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5.7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5.7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5.7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5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5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5.7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5.7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5.7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5.7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5.7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5.7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5.7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5.7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5.7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5.7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5.7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5.7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5.7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5.7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5.7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5.7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5.7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5.7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5.7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5.7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5.7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5.7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5.7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5.7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5.7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5.7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5.7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5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5.7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5.7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5.7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5.7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5.7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5.7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5.7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5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5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5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5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5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5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5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5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5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5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5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5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5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5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5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5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5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5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5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5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5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5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5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5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5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5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5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5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5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5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5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5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5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5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5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5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5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5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5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5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5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5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5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5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5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5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5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5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5.7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5.7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5.7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5.7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5.7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5.7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5.7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5.7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5.7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5.7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5.7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5.7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5.7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5.7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5.7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5.7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5.7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5.7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5.7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5.7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5.7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5.7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5.7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5.7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5.7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5.7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5.7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5.7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5.7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5.7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5.7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5.7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5.7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5.7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5.7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5.7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5.7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5.7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5.7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5.7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5.7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5.7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5.7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5.7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5.7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5.7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5.7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5.7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5.7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5.7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5.7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5.7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5.7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5.7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5.7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5.7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5.7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5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5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5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5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5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5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5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5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5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5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5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5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5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5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5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5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5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5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5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5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5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5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5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5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5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5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5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5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5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5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5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5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5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5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5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5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5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5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5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5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5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5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5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5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5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5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5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5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5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5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5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5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5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5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5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5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5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5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5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5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5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5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5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5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5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5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5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5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5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5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5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5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5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5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5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5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5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5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5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5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5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5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5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5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5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5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5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5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5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5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5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5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5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5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5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5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5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5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5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5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5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5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5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5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5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5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5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5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5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5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5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5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5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5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5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5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5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5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5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5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5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5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5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5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5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5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5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5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5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5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5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5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5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5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5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5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5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5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5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5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5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5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5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5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5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5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5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5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5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5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5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5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5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5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5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5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5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5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5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5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5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5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5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5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5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5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5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5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5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5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5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5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5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5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5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5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5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5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5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5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5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5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5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5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5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5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5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5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5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5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5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5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5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5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5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5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5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5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5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5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5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5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5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5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5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5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5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5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5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5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5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5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5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5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5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5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5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5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5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5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5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5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5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5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5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5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5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5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5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5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5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5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5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5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5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5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5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5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5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5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5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5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5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5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5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5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5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5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5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5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5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5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5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5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5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5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5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5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5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5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5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5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5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5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5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5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5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5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5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5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5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5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5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5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5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5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5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5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5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5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5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5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5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5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5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5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5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5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5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5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5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5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5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5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5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5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5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5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5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5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5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5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5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5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5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5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5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5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5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5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5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5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5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5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5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5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5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5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5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5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5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5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5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5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5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5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5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5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5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5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5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5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5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5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5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5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5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5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5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5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5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5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5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5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5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5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5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5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5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5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5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5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5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5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5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5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5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5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5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5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5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5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5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5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5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5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5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5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5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5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5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5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5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5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5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5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5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5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5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5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5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5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5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5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5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5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5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5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5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5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5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5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5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5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5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5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5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5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5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5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5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5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5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5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5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5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5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5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5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5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5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5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5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5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5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5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5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5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5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5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5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5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5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5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5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5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5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5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5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5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5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5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5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5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5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5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5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5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5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5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5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5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5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5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5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5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5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5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5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5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5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5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5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5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5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5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5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5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5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5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5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5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5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5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5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5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5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5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5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5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5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5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5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5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5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5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5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5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5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5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5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5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5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5.7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5.7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5.7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5.7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5.7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5.7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5.7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5.7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5.7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5.7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5.7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5.7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5.7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5.7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5.7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5.7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5.7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5.7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5.7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5.7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5.7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5.7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5.7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5.7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5.7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5.7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5.7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5.7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5.7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5.7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5.7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5.7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5.7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5.7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5.7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5.7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5.7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5.7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5.7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5.7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5.7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5.7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5.7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5.7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5.7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5.7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5.7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5.7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5.7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5.7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5.7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5.7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5.7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5.7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5.7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5.7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5.7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5.7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5.7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5.7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5.7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5.7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5.7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5.7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5.7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5.7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5.7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5.7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5.7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5.7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5.7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5.7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5.7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5.7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5.7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5.7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5.7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5.7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5.7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5.7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5.7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5.7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5.7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5.7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5.7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5.7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5.7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5.7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5.7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5.7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5.7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5.7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5.7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5.7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5.7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5.7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5.7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5.7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5.7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5.7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5.7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5.7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5.7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5.7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5.7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5.7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5.7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5.7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5.7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5.7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5.7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5.7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5.7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5.7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15.7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15.7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ht="15.7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ht="15.75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mergeCells count="5">
    <mergeCell ref="A3:H3"/>
    <mergeCell ref="A4:H4"/>
    <mergeCell ref="A13:H13"/>
    <mergeCell ref="A23:H23"/>
    <mergeCell ref="A35:H35"/>
  </mergeCells>
  <printOptions/>
  <pageMargins bottom="0.7480314960629921" footer="0.0" header="0.0" left="0.7086614173228347" right="0.7086614173228347" top="0.7480314960629921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86"/>
    <col customWidth="1" min="3" max="3" width="15.43"/>
    <col customWidth="1" min="4" max="4" width="13.57"/>
    <col customWidth="1" min="5" max="5" width="14.0"/>
    <col customWidth="1" min="6" max="6" width="12.43"/>
    <col customWidth="1" min="7" max="7" width="16.57"/>
    <col customWidth="1" min="8" max="9" width="8.71"/>
    <col customWidth="1" min="10" max="10" width="13.0"/>
    <col customWidth="1" min="11" max="11" width="28.14"/>
    <col customWidth="1" min="12" max="12" width="12.29"/>
    <col customWidth="1" min="13" max="20" width="8.71"/>
    <col customWidth="1" min="21" max="21" width="38.29"/>
    <col customWidth="1" min="22" max="22" width="8.71"/>
    <col hidden="1" min="23" max="23" width="14.43"/>
    <col customWidth="1" min="25" max="25" width="5.71"/>
    <col customWidth="1" min="26" max="26" width="17.57"/>
    <col hidden="1" min="27" max="27" width="14.43"/>
    <col customWidth="1" min="29" max="29" width="5.71"/>
  </cols>
  <sheetData>
    <row r="1" ht="15.0" customHeight="1">
      <c r="B1" s="299" t="s">
        <v>231</v>
      </c>
      <c r="C1" s="110"/>
      <c r="D1" s="110"/>
      <c r="E1" s="110"/>
      <c r="F1" s="110"/>
      <c r="G1" s="110"/>
      <c r="I1" s="49"/>
      <c r="J1" s="49"/>
      <c r="K1" s="49"/>
      <c r="L1" s="49"/>
      <c r="M1" s="49"/>
      <c r="N1" s="49"/>
      <c r="O1" s="49"/>
      <c r="P1" s="49"/>
      <c r="Q1" s="49"/>
      <c r="U1" s="4" t="s">
        <v>1</v>
      </c>
      <c r="V1" s="11"/>
      <c r="W1" s="11"/>
      <c r="X1" s="11"/>
      <c r="Y1" s="11"/>
      <c r="Z1" s="300" t="s">
        <v>3</v>
      </c>
      <c r="AA1" s="300"/>
      <c r="AB1" s="300"/>
      <c r="AC1" s="300" t="s">
        <v>232</v>
      </c>
    </row>
    <row r="2" ht="15.0" customHeight="1">
      <c r="B2" s="301" t="s">
        <v>233</v>
      </c>
      <c r="C2" s="81"/>
      <c r="D2" s="302" t="s">
        <v>234</v>
      </c>
      <c r="E2" s="302" t="s">
        <v>235</v>
      </c>
      <c r="F2" s="302" t="s">
        <v>236</v>
      </c>
      <c r="G2" s="302" t="s">
        <v>237</v>
      </c>
      <c r="I2" s="49"/>
      <c r="J2" s="49"/>
      <c r="K2" s="49"/>
      <c r="L2" s="49"/>
      <c r="M2" s="49"/>
      <c r="N2" s="49"/>
      <c r="O2" s="49"/>
      <c r="P2" s="49"/>
      <c r="Q2" s="49"/>
      <c r="U2" s="12" t="s">
        <v>4</v>
      </c>
      <c r="V2" s="13" t="s">
        <v>5</v>
      </c>
      <c r="W2" s="14"/>
      <c r="X2" s="15" t="s">
        <v>6</v>
      </c>
      <c r="Y2" s="12"/>
      <c r="Z2" s="13" t="s">
        <v>5</v>
      </c>
      <c r="AA2" s="14"/>
      <c r="AB2" s="303" t="s">
        <v>6</v>
      </c>
      <c r="AC2" s="11"/>
    </row>
    <row r="3">
      <c r="B3" s="304" t="s">
        <v>238</v>
      </c>
      <c r="C3" s="81"/>
      <c r="D3" s="305"/>
      <c r="E3" s="302"/>
      <c r="F3" s="306">
        <f t="shared" ref="F3:F8" si="1">E3/50</f>
        <v>0</v>
      </c>
      <c r="G3" s="307">
        <f t="shared" ref="G3:G12" si="2">D3*F3</f>
        <v>0</v>
      </c>
      <c r="I3" s="49"/>
      <c r="J3" s="49"/>
      <c r="K3" s="49"/>
      <c r="L3" s="49"/>
      <c r="M3" s="49"/>
      <c r="N3" s="49"/>
      <c r="O3" s="49"/>
      <c r="P3" s="49"/>
      <c r="Q3" s="49"/>
      <c r="U3" s="11" t="s">
        <v>11</v>
      </c>
      <c r="V3" s="24">
        <v>2258.0</v>
      </c>
      <c r="W3" s="14">
        <v>50.0</v>
      </c>
      <c r="X3" s="30">
        <f>V3*0.5</f>
        <v>1129</v>
      </c>
      <c r="Y3" s="23"/>
      <c r="Z3" s="24" t="str">
        <f>+VLOOKUP(U3,#REF!,2,0)</f>
        <v>#REF!</v>
      </c>
      <c r="AA3" s="14">
        <v>50.0</v>
      </c>
      <c r="AB3" s="308" t="str">
        <f>+Z3*AA3/100</f>
        <v>#REF!</v>
      </c>
      <c r="AC3" s="11" t="str">
        <f>+V3-Z3</f>
        <v>#REF!</v>
      </c>
    </row>
    <row r="4">
      <c r="A4" s="49"/>
      <c r="B4" s="304" t="s">
        <v>239</v>
      </c>
      <c r="C4" s="81"/>
      <c r="D4" s="305"/>
      <c r="E4" s="302"/>
      <c r="F4" s="306">
        <f t="shared" si="1"/>
        <v>0</v>
      </c>
      <c r="G4" s="307">
        <f t="shared" si="2"/>
        <v>0</v>
      </c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24"/>
      <c r="W4" s="14"/>
      <c r="X4" s="30"/>
      <c r="Y4" s="23"/>
      <c r="Z4" s="24"/>
      <c r="AA4" s="14"/>
      <c r="AB4" s="308"/>
      <c r="AC4" s="11"/>
    </row>
    <row r="5" ht="15.0" customHeight="1">
      <c r="B5" s="304" t="s">
        <v>240</v>
      </c>
      <c r="C5" s="81"/>
      <c r="D5" s="305"/>
      <c r="E5" s="302"/>
      <c r="F5" s="306">
        <f t="shared" si="1"/>
        <v>0</v>
      </c>
      <c r="G5" s="307">
        <f t="shared" si="2"/>
        <v>0</v>
      </c>
      <c r="I5" s="49"/>
      <c r="J5" s="49"/>
      <c r="K5" s="49"/>
      <c r="L5" s="49"/>
      <c r="M5" s="49"/>
      <c r="N5" s="49"/>
      <c r="O5" s="49"/>
      <c r="P5" s="49"/>
      <c r="Q5" s="49"/>
      <c r="U5" s="23" t="s">
        <v>12</v>
      </c>
      <c r="V5" s="24">
        <v>166.0</v>
      </c>
      <c r="W5" s="14">
        <v>30.0</v>
      </c>
      <c r="X5" s="30">
        <f>+V5*W5/100</f>
        <v>49.8</v>
      </c>
      <c r="Y5" s="23"/>
      <c r="Z5" s="24">
        <v>0.0</v>
      </c>
      <c r="AA5" s="14">
        <v>30.0</v>
      </c>
      <c r="AB5" s="308">
        <f>+Z5*AA5/100</f>
        <v>0</v>
      </c>
      <c r="AC5" s="11">
        <f t="shared" ref="AC5:AC18" si="3">+V5-Z5</f>
        <v>166</v>
      </c>
    </row>
    <row r="6" ht="15.0" customHeight="1">
      <c r="B6" s="304" t="s">
        <v>241</v>
      </c>
      <c r="C6" s="81"/>
      <c r="D6" s="305"/>
      <c r="E6" s="302"/>
      <c r="F6" s="306">
        <f t="shared" si="1"/>
        <v>0</v>
      </c>
      <c r="G6" s="307">
        <f t="shared" si="2"/>
        <v>0</v>
      </c>
      <c r="I6" s="49"/>
      <c r="J6" s="49"/>
      <c r="K6" s="49"/>
      <c r="L6" s="49"/>
      <c r="M6" s="49"/>
      <c r="N6" s="49"/>
      <c r="O6" s="49"/>
      <c r="P6" s="49"/>
      <c r="Q6" s="49"/>
      <c r="U6" s="11" t="s">
        <v>189</v>
      </c>
      <c r="V6" s="24">
        <v>5282.0</v>
      </c>
      <c r="W6" s="14"/>
      <c r="X6" s="30">
        <f>+V6*0.5</f>
        <v>2641</v>
      </c>
      <c r="Y6" s="21"/>
      <c r="Z6" s="24" t="str">
        <f t="shared" ref="Z6:Z12" si="4">+VLOOKUP(U6,#REF!,2,0)</f>
        <v>#REF!</v>
      </c>
      <c r="AA6" s="14"/>
      <c r="AB6" s="308" t="str">
        <f>+Z6*0.5</f>
        <v>#REF!</v>
      </c>
      <c r="AC6" s="11" t="str">
        <f t="shared" si="3"/>
        <v>#REF!</v>
      </c>
    </row>
    <row r="7" ht="15.0" customHeight="1">
      <c r="B7" s="304" t="s">
        <v>242</v>
      </c>
      <c r="C7" s="81"/>
      <c r="D7" s="305"/>
      <c r="E7" s="302"/>
      <c r="F7" s="306">
        <f t="shared" si="1"/>
        <v>0</v>
      </c>
      <c r="G7" s="307">
        <f t="shared" si="2"/>
        <v>0</v>
      </c>
      <c r="I7" s="49"/>
      <c r="J7" s="49"/>
      <c r="K7" s="309">
        <v>46023.0</v>
      </c>
      <c r="L7" s="81"/>
      <c r="M7" s="49"/>
      <c r="N7" s="49"/>
      <c r="O7" s="49"/>
      <c r="P7" s="49"/>
      <c r="Q7" s="49"/>
      <c r="U7" s="11" t="s">
        <v>16</v>
      </c>
      <c r="V7" s="24"/>
      <c r="W7" s="14">
        <v>50.0</v>
      </c>
      <c r="X7" s="30">
        <f t="shared" ref="X7:X19" si="5">+V7*W7/100</f>
        <v>0</v>
      </c>
      <c r="Y7" s="23"/>
      <c r="Z7" s="24" t="str">
        <f t="shared" si="4"/>
        <v>#REF!</v>
      </c>
      <c r="AA7" s="14">
        <v>50.0</v>
      </c>
      <c r="AB7" s="308" t="str">
        <f t="shared" ref="AB7:AB19" si="6">+Z7*AA7/100</f>
        <v>#REF!</v>
      </c>
      <c r="AC7" s="11" t="str">
        <f t="shared" si="3"/>
        <v>#REF!</v>
      </c>
    </row>
    <row r="8" ht="15.0" customHeight="1">
      <c r="B8" s="304" t="s">
        <v>243</v>
      </c>
      <c r="C8" s="81"/>
      <c r="D8" s="305"/>
      <c r="E8" s="302"/>
      <c r="F8" s="306">
        <f t="shared" si="1"/>
        <v>0</v>
      </c>
      <c r="G8" s="307">
        <f t="shared" si="2"/>
        <v>0</v>
      </c>
      <c r="I8" s="49"/>
      <c r="J8" s="49"/>
      <c r="K8" s="11" t="s">
        <v>244</v>
      </c>
      <c r="L8" s="11">
        <v>1238703.0</v>
      </c>
      <c r="M8" s="49"/>
      <c r="N8" s="49"/>
      <c r="O8" s="49"/>
      <c r="P8" s="49"/>
      <c r="Q8" s="49"/>
      <c r="U8" s="11" t="s">
        <v>19</v>
      </c>
      <c r="V8" s="24">
        <v>378.0</v>
      </c>
      <c r="W8" s="14">
        <v>50.0</v>
      </c>
      <c r="X8" s="30">
        <f t="shared" si="5"/>
        <v>189</v>
      </c>
      <c r="Y8" s="23"/>
      <c r="Z8" s="24" t="str">
        <f t="shared" si="4"/>
        <v>#REF!</v>
      </c>
      <c r="AA8" s="14">
        <v>50.0</v>
      </c>
      <c r="AB8" s="308" t="str">
        <f t="shared" si="6"/>
        <v>#REF!</v>
      </c>
      <c r="AC8" s="11" t="str">
        <f t="shared" si="3"/>
        <v>#REF!</v>
      </c>
    </row>
    <row r="9" ht="15.0" customHeight="1">
      <c r="B9" s="304" t="s">
        <v>245</v>
      </c>
      <c r="C9" s="81"/>
      <c r="D9" s="305"/>
      <c r="E9" s="302"/>
      <c r="F9" s="306">
        <f>E9/39</f>
        <v>0</v>
      </c>
      <c r="G9" s="307">
        <f t="shared" si="2"/>
        <v>0</v>
      </c>
      <c r="I9" s="49"/>
      <c r="J9" s="49"/>
      <c r="K9" s="11" t="s">
        <v>246</v>
      </c>
      <c r="L9" s="11">
        <v>2200000.0</v>
      </c>
      <c r="M9" s="49"/>
      <c r="N9" s="49"/>
      <c r="O9" s="49"/>
      <c r="P9" s="49"/>
      <c r="Q9" s="49"/>
      <c r="U9" s="11" t="s">
        <v>22</v>
      </c>
      <c r="V9" s="24">
        <v>356.0</v>
      </c>
      <c r="W9" s="14">
        <v>30.0</v>
      </c>
      <c r="X9" s="30">
        <f t="shared" si="5"/>
        <v>106.8</v>
      </c>
      <c r="Y9" s="23"/>
      <c r="Z9" s="24" t="str">
        <f t="shared" si="4"/>
        <v>#REF!</v>
      </c>
      <c r="AA9" s="14">
        <v>30.0</v>
      </c>
      <c r="AB9" s="308" t="str">
        <f t="shared" si="6"/>
        <v>#REF!</v>
      </c>
      <c r="AC9" s="11" t="str">
        <f t="shared" si="3"/>
        <v>#REF!</v>
      </c>
    </row>
    <row r="10" ht="15.0" customHeight="1">
      <c r="B10" s="304" t="s">
        <v>247</v>
      </c>
      <c r="C10" s="81"/>
      <c r="D10" s="305"/>
      <c r="E10" s="302"/>
      <c r="F10" s="306">
        <f t="shared" ref="F10:F12" si="7">E10/49</f>
        <v>0</v>
      </c>
      <c r="G10" s="307">
        <f t="shared" si="2"/>
        <v>0</v>
      </c>
      <c r="I10" s="49"/>
      <c r="J10" s="49"/>
      <c r="K10" s="11" t="s">
        <v>248</v>
      </c>
      <c r="L10" s="11">
        <v>1100000.0</v>
      </c>
      <c r="M10" s="49"/>
      <c r="N10" s="49"/>
      <c r="O10" s="49"/>
      <c r="P10" s="49"/>
      <c r="Q10" s="49"/>
      <c r="S10" s="35">
        <v>110.0</v>
      </c>
      <c r="U10" s="11" t="s">
        <v>25</v>
      </c>
      <c r="V10" s="24">
        <v>845.0</v>
      </c>
      <c r="W10" s="14">
        <v>50.0</v>
      </c>
      <c r="X10" s="30">
        <f t="shared" si="5"/>
        <v>422.5</v>
      </c>
      <c r="Y10" s="23"/>
      <c r="Z10" s="24" t="str">
        <f t="shared" si="4"/>
        <v>#REF!</v>
      </c>
      <c r="AA10" s="14">
        <v>50.0</v>
      </c>
      <c r="AB10" s="308" t="str">
        <f t="shared" si="6"/>
        <v>#REF!</v>
      </c>
      <c r="AC10" s="11" t="str">
        <f t="shared" si="3"/>
        <v>#REF!</v>
      </c>
    </row>
    <row r="11" ht="15.0" customHeight="1">
      <c r="B11" s="304" t="s">
        <v>249</v>
      </c>
      <c r="C11" s="81"/>
      <c r="D11" s="305"/>
      <c r="E11" s="302"/>
      <c r="F11" s="306">
        <f t="shared" si="7"/>
        <v>0</v>
      </c>
      <c r="G11" s="307">
        <f t="shared" si="2"/>
        <v>0</v>
      </c>
      <c r="I11" s="49"/>
      <c r="J11" s="49"/>
      <c r="K11" s="11" t="s">
        <v>250</v>
      </c>
      <c r="L11" s="11">
        <v>1000000.0</v>
      </c>
      <c r="M11" s="49"/>
      <c r="N11" s="49"/>
      <c r="O11" s="49"/>
      <c r="P11" s="49"/>
      <c r="Q11" s="49"/>
      <c r="S11" s="35">
        <f>+S10*8</f>
        <v>880</v>
      </c>
      <c r="U11" s="11" t="s">
        <v>27</v>
      </c>
      <c r="V11" s="24">
        <v>285.0</v>
      </c>
      <c r="W11" s="14">
        <v>30.0</v>
      </c>
      <c r="X11" s="30">
        <f t="shared" si="5"/>
        <v>85.5</v>
      </c>
      <c r="Y11" s="23"/>
      <c r="Z11" s="24" t="str">
        <f t="shared" si="4"/>
        <v>#REF!</v>
      </c>
      <c r="AA11" s="14">
        <v>30.0</v>
      </c>
      <c r="AB11" s="308" t="str">
        <f t="shared" si="6"/>
        <v>#REF!</v>
      </c>
      <c r="AC11" s="11" t="str">
        <f t="shared" si="3"/>
        <v>#REF!</v>
      </c>
    </row>
    <row r="12" ht="15.0" customHeight="1">
      <c r="B12" s="304" t="s">
        <v>251</v>
      </c>
      <c r="C12" s="81"/>
      <c r="D12" s="305"/>
      <c r="E12" s="302"/>
      <c r="F12" s="306">
        <f t="shared" si="7"/>
        <v>0</v>
      </c>
      <c r="G12" s="307">
        <f t="shared" si="2"/>
        <v>0</v>
      </c>
      <c r="I12" s="49"/>
      <c r="J12" s="49"/>
      <c r="K12" s="11" t="s">
        <v>252</v>
      </c>
      <c r="L12" s="11">
        <v>590000.0</v>
      </c>
      <c r="M12" s="49"/>
      <c r="N12" s="49"/>
      <c r="O12" s="49"/>
      <c r="P12" s="49"/>
      <c r="Q12" s="49"/>
      <c r="U12" s="11" t="s">
        <v>29</v>
      </c>
      <c r="V12" s="24">
        <v>673.0</v>
      </c>
      <c r="W12" s="14">
        <v>50.0</v>
      </c>
      <c r="X12" s="30">
        <f t="shared" si="5"/>
        <v>336.5</v>
      </c>
      <c r="Y12" s="23"/>
      <c r="Z12" s="24" t="str">
        <f t="shared" si="4"/>
        <v>#REF!</v>
      </c>
      <c r="AA12" s="14">
        <v>50.0</v>
      </c>
      <c r="AB12" s="308" t="str">
        <f t="shared" si="6"/>
        <v>#REF!</v>
      </c>
      <c r="AC12" s="11" t="str">
        <f t="shared" si="3"/>
        <v>#REF!</v>
      </c>
    </row>
    <row r="13" ht="15.0" customHeight="1">
      <c r="B13" s="301"/>
      <c r="C13" s="81"/>
      <c r="D13" s="305">
        <f>SUM(D3:D12)</f>
        <v>0</v>
      </c>
      <c r="E13" s="301" t="s">
        <v>253</v>
      </c>
      <c r="F13" s="81"/>
      <c r="G13" s="306">
        <f>SUM(G3:G12)</f>
        <v>0</v>
      </c>
      <c r="I13" s="49"/>
      <c r="J13" s="49"/>
      <c r="K13" s="11" t="s">
        <v>254</v>
      </c>
      <c r="L13" s="11">
        <v>230000.0</v>
      </c>
      <c r="M13" s="49"/>
      <c r="N13" s="49"/>
      <c r="O13" s="49"/>
      <c r="P13" s="49"/>
      <c r="Q13" s="49"/>
      <c r="U13" s="23" t="s">
        <v>31</v>
      </c>
      <c r="V13" s="24">
        <v>0.0</v>
      </c>
      <c r="W13" s="14">
        <v>50.0</v>
      </c>
      <c r="X13" s="30">
        <f t="shared" si="5"/>
        <v>0</v>
      </c>
      <c r="Y13" s="23"/>
      <c r="Z13" s="24">
        <v>0.0</v>
      </c>
      <c r="AA13" s="14">
        <v>50.0</v>
      </c>
      <c r="AB13" s="308">
        <f t="shared" si="6"/>
        <v>0</v>
      </c>
      <c r="AC13" s="11">
        <f t="shared" si="3"/>
        <v>0</v>
      </c>
    </row>
    <row r="14" ht="15.0" customHeight="1">
      <c r="B14" s="310" t="s">
        <v>255</v>
      </c>
      <c r="C14" s="311"/>
      <c r="D14" s="311"/>
      <c r="E14" s="301" t="s">
        <v>256</v>
      </c>
      <c r="F14" s="81"/>
      <c r="G14" s="306" t="str">
        <f>'REPORT DATA SHEET'!P58</f>
        <v>#DIV/0!</v>
      </c>
      <c r="I14" s="49"/>
      <c r="J14" s="49"/>
      <c r="K14" s="11" t="s">
        <v>257</v>
      </c>
      <c r="L14" s="11">
        <v>150000.0</v>
      </c>
      <c r="M14" s="49"/>
      <c r="N14" s="49"/>
      <c r="O14" s="49"/>
      <c r="P14" s="49"/>
      <c r="Q14" s="49"/>
      <c r="U14" s="23" t="s">
        <v>32</v>
      </c>
      <c r="V14" s="24">
        <v>0.0</v>
      </c>
      <c r="W14" s="14">
        <v>30.0</v>
      </c>
      <c r="X14" s="30">
        <f t="shared" si="5"/>
        <v>0</v>
      </c>
      <c r="Y14" s="23"/>
      <c r="Z14" s="24">
        <v>0.0</v>
      </c>
      <c r="AA14" s="14">
        <v>30.0</v>
      </c>
      <c r="AB14" s="308">
        <f t="shared" si="6"/>
        <v>0</v>
      </c>
      <c r="AC14" s="11">
        <f t="shared" si="3"/>
        <v>0</v>
      </c>
    </row>
    <row r="15" ht="15.0" customHeight="1">
      <c r="B15" s="310" t="s">
        <v>258</v>
      </c>
      <c r="C15" s="312"/>
      <c r="D15" s="310"/>
      <c r="E15" s="301" t="s">
        <v>259</v>
      </c>
      <c r="F15" s="81"/>
      <c r="G15" s="313" t="str">
        <f>+G13-G14</f>
        <v>#DIV/0!</v>
      </c>
      <c r="I15" s="49"/>
      <c r="J15" s="49"/>
      <c r="K15" s="11" t="s">
        <v>260</v>
      </c>
      <c r="L15" s="11">
        <v>27140.0</v>
      </c>
      <c r="M15" s="49"/>
      <c r="N15" s="49"/>
      <c r="O15" s="49"/>
      <c r="P15" s="49"/>
      <c r="Q15" s="49"/>
      <c r="U15" s="23" t="s">
        <v>261</v>
      </c>
      <c r="V15" s="24">
        <v>0.0</v>
      </c>
      <c r="W15" s="14">
        <v>5.0</v>
      </c>
      <c r="X15" s="30">
        <f t="shared" si="5"/>
        <v>0</v>
      </c>
      <c r="Y15" s="23"/>
      <c r="Z15" s="24">
        <v>0.0</v>
      </c>
      <c r="AA15" s="14">
        <v>5.0</v>
      </c>
      <c r="AB15" s="308">
        <f t="shared" si="6"/>
        <v>0</v>
      </c>
      <c r="AC15" s="11">
        <f t="shared" si="3"/>
        <v>0</v>
      </c>
    </row>
    <row r="16" ht="15.0" customHeight="1">
      <c r="B16" s="310"/>
      <c r="C16" s="310"/>
      <c r="D16" s="314"/>
      <c r="E16" s="301" t="s">
        <v>262</v>
      </c>
      <c r="F16" s="81"/>
      <c r="G16" s="306">
        <v>0.0</v>
      </c>
      <c r="I16" s="49"/>
      <c r="J16" s="49"/>
      <c r="K16" s="11" t="s">
        <v>263</v>
      </c>
      <c r="L16" s="11">
        <v>400000.0</v>
      </c>
      <c r="M16" s="49"/>
      <c r="N16" s="49"/>
      <c r="O16" s="49"/>
      <c r="P16" s="49"/>
      <c r="Q16" s="49"/>
      <c r="U16" s="23" t="s">
        <v>34</v>
      </c>
      <c r="V16" s="24">
        <v>218.0</v>
      </c>
      <c r="W16" s="37">
        <v>39.0</v>
      </c>
      <c r="X16" s="30">
        <f t="shared" si="5"/>
        <v>85.02</v>
      </c>
      <c r="Y16" s="23"/>
      <c r="Z16" s="24">
        <v>0.0</v>
      </c>
      <c r="AA16" s="37">
        <v>39.0</v>
      </c>
      <c r="AB16" s="308">
        <f t="shared" si="6"/>
        <v>0</v>
      </c>
      <c r="AC16" s="11">
        <f t="shared" si="3"/>
        <v>218</v>
      </c>
    </row>
    <row r="17" ht="15.0" customHeight="1">
      <c r="B17" s="310"/>
      <c r="C17" s="310"/>
      <c r="D17" s="310"/>
      <c r="E17" s="301" t="s">
        <v>264</v>
      </c>
      <c r="F17" s="81"/>
      <c r="G17" s="306" t="str">
        <f>+G14*0.03</f>
        <v>#DIV/0!</v>
      </c>
      <c r="I17" s="49"/>
      <c r="J17" s="49"/>
      <c r="K17" s="11" t="s">
        <v>265</v>
      </c>
      <c r="L17" s="11">
        <v>300000.0</v>
      </c>
      <c r="M17" s="49"/>
      <c r="N17" s="49"/>
      <c r="O17" s="49"/>
      <c r="P17" s="49"/>
      <c r="Q17" s="49"/>
      <c r="U17" s="11" t="s">
        <v>17</v>
      </c>
      <c r="V17" s="24">
        <v>2840.0</v>
      </c>
      <c r="W17" s="14">
        <v>49.0</v>
      </c>
      <c r="X17" s="30">
        <f t="shared" si="5"/>
        <v>1391.6</v>
      </c>
      <c r="Y17" s="23"/>
      <c r="Z17" s="24" t="str">
        <f t="shared" ref="Z17:Z18" si="8">+VLOOKUP(U17,#REF!,2,0)</f>
        <v>#REF!</v>
      </c>
      <c r="AA17" s="14">
        <v>49.0</v>
      </c>
      <c r="AB17" s="308" t="str">
        <f t="shared" si="6"/>
        <v>#REF!</v>
      </c>
      <c r="AC17" s="11" t="str">
        <f t="shared" si="3"/>
        <v>#REF!</v>
      </c>
    </row>
    <row r="18" ht="15.0" customHeight="1">
      <c r="B18" s="310"/>
      <c r="C18" s="310"/>
      <c r="D18" s="310"/>
      <c r="E18" s="301" t="s">
        <v>266</v>
      </c>
      <c r="F18" s="81"/>
      <c r="G18" s="315" t="str">
        <f>+G15+G17-G16</f>
        <v>#DIV/0!</v>
      </c>
      <c r="I18" s="49"/>
      <c r="J18" s="49"/>
      <c r="K18" s="11" t="s">
        <v>267</v>
      </c>
      <c r="L18" s="11">
        <v>15000.0</v>
      </c>
      <c r="M18" s="49"/>
      <c r="N18" s="49"/>
      <c r="O18" s="49"/>
      <c r="P18" s="49"/>
      <c r="Q18" s="49"/>
      <c r="R18" s="35">
        <v>117.0</v>
      </c>
      <c r="S18" s="35">
        <f>+H18*R18</f>
        <v>0</v>
      </c>
      <c r="U18" s="11" t="s">
        <v>23</v>
      </c>
      <c r="V18" s="24">
        <v>5785.0</v>
      </c>
      <c r="W18" s="14">
        <v>49.0</v>
      </c>
      <c r="X18" s="30">
        <f t="shared" si="5"/>
        <v>2834.65</v>
      </c>
      <c r="Y18" s="23"/>
      <c r="Z18" s="24" t="str">
        <f t="shared" si="8"/>
        <v>#REF!</v>
      </c>
      <c r="AA18" s="14">
        <v>49.0</v>
      </c>
      <c r="AB18" s="308" t="str">
        <f t="shared" si="6"/>
        <v>#REF!</v>
      </c>
      <c r="AC18" s="11" t="str">
        <f t="shared" si="3"/>
        <v>#REF!</v>
      </c>
    </row>
    <row r="19" ht="15.0" customHeight="1">
      <c r="E19" s="301"/>
      <c r="F19" s="81"/>
      <c r="G19" s="306"/>
      <c r="I19" s="49"/>
      <c r="J19" s="49"/>
      <c r="K19" s="11" t="s">
        <v>268</v>
      </c>
      <c r="L19" s="11">
        <v>8000.0</v>
      </c>
      <c r="M19" s="49"/>
      <c r="N19" s="49"/>
      <c r="O19" s="49"/>
      <c r="P19" s="49"/>
      <c r="Q19" s="49"/>
      <c r="S19" s="35">
        <f>+S18/7</f>
        <v>0</v>
      </c>
      <c r="U19" s="23" t="s">
        <v>206</v>
      </c>
      <c r="V19" s="24">
        <v>345.0</v>
      </c>
      <c r="W19" s="14">
        <v>49.0</v>
      </c>
      <c r="X19" s="30">
        <f t="shared" si="5"/>
        <v>169.05</v>
      </c>
      <c r="Y19" s="23"/>
      <c r="Z19" s="24">
        <v>0.0</v>
      </c>
      <c r="AA19" s="14">
        <v>49.0</v>
      </c>
      <c r="AB19" s="308">
        <f t="shared" si="6"/>
        <v>0</v>
      </c>
      <c r="AC19" s="11"/>
    </row>
    <row r="20" ht="15.0" customHeight="1">
      <c r="G20" s="99"/>
      <c r="I20" s="49"/>
      <c r="J20" s="49"/>
      <c r="K20" s="11" t="s">
        <v>269</v>
      </c>
      <c r="L20" s="11">
        <v>70000.0</v>
      </c>
      <c r="M20" s="49"/>
      <c r="N20" s="49"/>
      <c r="O20" s="49"/>
      <c r="P20" s="49"/>
      <c r="Q20" s="49"/>
      <c r="U20" s="43"/>
      <c r="V20" s="44"/>
      <c r="W20" s="14"/>
      <c r="X20" s="45"/>
      <c r="Y20" s="43"/>
      <c r="Z20" s="44"/>
      <c r="AA20" s="14"/>
      <c r="AB20" s="316"/>
      <c r="AC20" s="11"/>
    </row>
    <row r="21" ht="15.0" customHeight="1">
      <c r="I21" s="49"/>
      <c r="J21" s="49"/>
      <c r="K21" s="11" t="s">
        <v>270</v>
      </c>
      <c r="L21" s="11">
        <v>400000.0</v>
      </c>
      <c r="M21" s="49"/>
      <c r="N21" s="49"/>
      <c r="O21" s="49"/>
      <c r="P21" s="49"/>
      <c r="Q21" s="49"/>
      <c r="R21" s="35">
        <v>2000.0</v>
      </c>
      <c r="U21" s="43"/>
      <c r="V21" s="44"/>
      <c r="W21" s="14"/>
      <c r="X21" s="45"/>
      <c r="Y21" s="43"/>
      <c r="Z21" s="44"/>
      <c r="AA21" s="14"/>
      <c r="AB21" s="316"/>
      <c r="AC21" s="11"/>
    </row>
    <row r="22" ht="15.0" customHeight="1">
      <c r="I22" s="49"/>
      <c r="J22" s="49"/>
      <c r="K22" s="11" t="s">
        <v>271</v>
      </c>
      <c r="L22" s="11">
        <v>155000.0</v>
      </c>
      <c r="M22" s="49"/>
      <c r="N22" s="49"/>
      <c r="O22" s="49"/>
      <c r="P22" s="49"/>
      <c r="Q22" s="49"/>
      <c r="U22" s="51" t="s">
        <v>39</v>
      </c>
      <c r="V22" s="52">
        <f>SUM(V3:V19)</f>
        <v>19431</v>
      </c>
      <c r="W22" s="53"/>
      <c r="X22" s="54">
        <f>SUM(X3:X19)</f>
        <v>9440.42</v>
      </c>
      <c r="Y22" s="51"/>
      <c r="Z22" s="52" t="str">
        <f>SUM(Z3:Z19)</f>
        <v>#REF!</v>
      </c>
      <c r="AA22" s="53"/>
      <c r="AB22" s="317" t="str">
        <f>SUM(AB3:AB19)</f>
        <v>#REF!</v>
      </c>
      <c r="AC22" s="11" t="str">
        <f>SUM(AC3:AC21)</f>
        <v>#REF!</v>
      </c>
    </row>
    <row r="23" ht="15.75" customHeight="1">
      <c r="B23" s="299" t="s">
        <v>272</v>
      </c>
      <c r="C23" s="110"/>
      <c r="D23" s="110"/>
      <c r="E23" s="110"/>
      <c r="F23" s="110"/>
      <c r="G23" s="110"/>
      <c r="I23" s="49"/>
      <c r="J23" s="49"/>
      <c r="K23" s="11" t="s">
        <v>273</v>
      </c>
      <c r="L23" s="11">
        <v>70000.0</v>
      </c>
      <c r="M23" s="49"/>
      <c r="N23" s="49"/>
      <c r="O23" s="49"/>
      <c r="P23" s="49"/>
      <c r="Q23" s="49"/>
    </row>
    <row r="24" ht="15.75" customHeight="1">
      <c r="B24" s="301" t="s">
        <v>233</v>
      </c>
      <c r="C24" s="81"/>
      <c r="D24" s="302" t="s">
        <v>234</v>
      </c>
      <c r="E24" s="302" t="s">
        <v>235</v>
      </c>
      <c r="F24" s="302" t="s">
        <v>236</v>
      </c>
      <c r="G24" s="302" t="s">
        <v>237</v>
      </c>
      <c r="I24" s="49"/>
      <c r="J24" s="49"/>
      <c r="K24" s="11" t="s">
        <v>110</v>
      </c>
      <c r="L24" s="11">
        <v>102000.0</v>
      </c>
      <c r="M24" s="49"/>
      <c r="N24" s="49"/>
      <c r="O24" s="49"/>
      <c r="P24" s="49"/>
      <c r="Q24" s="49"/>
    </row>
    <row r="25" ht="15.75" customHeight="1">
      <c r="B25" s="301" t="s">
        <v>238</v>
      </c>
      <c r="C25" s="81"/>
      <c r="D25" s="305">
        <v>22.1</v>
      </c>
      <c r="E25" s="318">
        <f>+'AUG TILL DATE '!T7</f>
        <v>1644.451108</v>
      </c>
      <c r="F25" s="306">
        <f t="shared" ref="F25:F29" si="9">E25/50</f>
        <v>32.88902215</v>
      </c>
      <c r="G25" s="307">
        <f t="shared" ref="G25:G33" si="10">D25*F25</f>
        <v>726.8473896</v>
      </c>
      <c r="I25" s="49"/>
      <c r="J25" s="49"/>
      <c r="K25" s="11" t="s">
        <v>274</v>
      </c>
      <c r="L25" s="11">
        <v>580000.0</v>
      </c>
      <c r="M25" s="49"/>
      <c r="N25" s="49"/>
      <c r="O25" s="49"/>
      <c r="P25" s="49"/>
      <c r="Q25" s="49"/>
    </row>
    <row r="26" ht="15.75" customHeight="1">
      <c r="B26" s="301" t="s">
        <v>275</v>
      </c>
      <c r="C26" s="81"/>
      <c r="D26" s="305">
        <v>33.7</v>
      </c>
      <c r="E26" s="318">
        <f>+'AUG TILL DATE '!T9</f>
        <v>1526.830295</v>
      </c>
      <c r="F26" s="306">
        <f t="shared" si="9"/>
        <v>30.53660589</v>
      </c>
      <c r="G26" s="307">
        <f t="shared" si="10"/>
        <v>1029.083619</v>
      </c>
      <c r="I26" s="49"/>
      <c r="J26" s="49"/>
      <c r="K26" s="11" t="s">
        <v>276</v>
      </c>
      <c r="L26" s="11">
        <f>SUM(L8:L25)</f>
        <v>8635843</v>
      </c>
      <c r="M26" s="49"/>
      <c r="N26" s="49"/>
      <c r="O26" s="49"/>
      <c r="P26" s="49"/>
      <c r="Q26" s="49"/>
    </row>
    <row r="27" ht="15.75" customHeight="1">
      <c r="B27" s="301" t="s">
        <v>241</v>
      </c>
      <c r="C27" s="81"/>
      <c r="D27" s="305">
        <v>5.3</v>
      </c>
      <c r="E27" s="318" t="str">
        <f>+'AUG TILL DATE '!AB10</f>
        <v>#ERROR!</v>
      </c>
      <c r="F27" s="306" t="str">
        <f t="shared" si="9"/>
        <v>#ERROR!</v>
      </c>
      <c r="G27" s="307" t="str">
        <f t="shared" si="10"/>
        <v>#ERROR!</v>
      </c>
      <c r="I27" s="49"/>
      <c r="J27" s="49"/>
      <c r="K27" s="49"/>
      <c r="L27" s="49"/>
      <c r="M27" s="49"/>
      <c r="N27" s="49"/>
      <c r="O27" s="49"/>
      <c r="P27" s="49"/>
      <c r="Q27" s="49"/>
    </row>
    <row r="28" ht="15.75" customHeight="1">
      <c r="B28" s="301" t="s">
        <v>242</v>
      </c>
      <c r="C28" s="81"/>
      <c r="D28" s="305">
        <v>5.7</v>
      </c>
      <c r="E28" s="318">
        <f>+'AUG TILL DATE '!T13</f>
        <v>1716.040888</v>
      </c>
      <c r="F28" s="306">
        <f t="shared" si="9"/>
        <v>34.32081776</v>
      </c>
      <c r="G28" s="307">
        <f t="shared" si="10"/>
        <v>195.6286612</v>
      </c>
      <c r="I28" s="49"/>
      <c r="J28" s="49"/>
      <c r="K28" s="49"/>
      <c r="L28" s="49"/>
      <c r="M28" s="49"/>
      <c r="N28" s="49"/>
      <c r="O28" s="49"/>
      <c r="P28" s="49"/>
      <c r="Q28" s="49"/>
    </row>
    <row r="29" ht="15.75" customHeight="1">
      <c r="B29" s="301" t="s">
        <v>243</v>
      </c>
      <c r="C29" s="81"/>
      <c r="D29" s="305">
        <v>3.1</v>
      </c>
      <c r="E29" s="318">
        <f>+'AUG TILL DATE '!T15</f>
        <v>1750.07563</v>
      </c>
      <c r="F29" s="306">
        <f t="shared" si="9"/>
        <v>35.00151261</v>
      </c>
      <c r="G29" s="307">
        <f t="shared" si="10"/>
        <v>108.5046891</v>
      </c>
      <c r="I29" s="49"/>
      <c r="J29" s="49"/>
      <c r="K29" s="49"/>
      <c r="L29" s="49"/>
      <c r="M29" s="49"/>
      <c r="N29" s="49"/>
      <c r="O29" s="49"/>
      <c r="P29" s="49"/>
      <c r="Q29" s="49"/>
    </row>
    <row r="30" ht="15.75" customHeight="1">
      <c r="B30" s="301" t="s">
        <v>245</v>
      </c>
      <c r="C30" s="81"/>
      <c r="D30" s="305">
        <v>0.0</v>
      </c>
      <c r="E30" s="318">
        <f>+'AUG TILL DATE '!T19</f>
        <v>850</v>
      </c>
      <c r="F30" s="306">
        <f>E30/39</f>
        <v>21.79487179</v>
      </c>
      <c r="G30" s="307">
        <f t="shared" si="10"/>
        <v>0</v>
      </c>
      <c r="I30" s="49"/>
      <c r="J30" s="49"/>
      <c r="K30" s="49"/>
      <c r="L30" s="49"/>
      <c r="M30" s="49"/>
      <c r="N30" s="49"/>
      <c r="O30" s="49"/>
      <c r="P30" s="49"/>
      <c r="Q30" s="49"/>
    </row>
    <row r="31" ht="15.75" customHeight="1">
      <c r="B31" s="301" t="s">
        <v>247</v>
      </c>
      <c r="C31" s="81"/>
      <c r="D31" s="305">
        <v>5.0</v>
      </c>
      <c r="E31" s="318">
        <f>+'AUG TILL DATE '!T20</f>
        <v>777.0251998</v>
      </c>
      <c r="F31" s="306">
        <f t="shared" ref="F31:F33" si="11">E31/49</f>
        <v>15.85765714</v>
      </c>
      <c r="G31" s="307">
        <f t="shared" si="10"/>
        <v>79.28828569</v>
      </c>
      <c r="I31" s="49"/>
      <c r="J31" s="49"/>
      <c r="K31" s="49"/>
      <c r="L31" s="49"/>
      <c r="M31" s="49"/>
      <c r="N31" s="49"/>
      <c r="O31" s="49"/>
      <c r="P31" s="49"/>
      <c r="Q31" s="49"/>
    </row>
    <row r="32" ht="15.75" customHeight="1">
      <c r="B32" s="301" t="s">
        <v>249</v>
      </c>
      <c r="C32" s="81"/>
      <c r="D32" s="305">
        <v>0.0</v>
      </c>
      <c r="E32" s="302">
        <v>1300.0</v>
      </c>
      <c r="F32" s="306">
        <f t="shared" si="11"/>
        <v>26.53061224</v>
      </c>
      <c r="G32" s="307">
        <f t="shared" si="10"/>
        <v>0</v>
      </c>
      <c r="I32" s="49"/>
      <c r="J32" s="49"/>
      <c r="K32" s="49"/>
      <c r="L32" s="49"/>
      <c r="M32" s="49"/>
      <c r="N32" s="49"/>
      <c r="O32" s="49"/>
      <c r="P32" s="49"/>
      <c r="Q32" s="49"/>
    </row>
    <row r="33" ht="15.75" customHeight="1">
      <c r="B33" s="301" t="s">
        <v>251</v>
      </c>
      <c r="C33" s="81"/>
      <c r="D33" s="305">
        <v>25.1</v>
      </c>
      <c r="E33" s="318">
        <f>+'AUG TILL DATE '!T21</f>
        <v>1050.632763</v>
      </c>
      <c r="F33" s="306">
        <f t="shared" si="11"/>
        <v>21.44148496</v>
      </c>
      <c r="G33" s="307">
        <f t="shared" si="10"/>
        <v>538.1812725</v>
      </c>
      <c r="I33" s="49"/>
      <c r="J33" s="49"/>
      <c r="K33" s="49"/>
      <c r="L33" s="49"/>
      <c r="M33" s="49"/>
      <c r="N33" s="49"/>
      <c r="O33" s="49"/>
      <c r="P33" s="49"/>
      <c r="Q33" s="49"/>
    </row>
    <row r="34" ht="15.75" customHeight="1">
      <c r="B34" s="301"/>
      <c r="C34" s="81"/>
      <c r="D34" s="305">
        <f>SUM(D25:D33)</f>
        <v>100</v>
      </c>
      <c r="E34" s="301" t="s">
        <v>253</v>
      </c>
      <c r="F34" s="81"/>
      <c r="G34" s="306" t="str">
        <f>SUM(G25:G33)</f>
        <v>#ERROR!</v>
      </c>
      <c r="I34" s="49"/>
      <c r="J34" s="49"/>
      <c r="K34" s="49"/>
      <c r="L34" s="49"/>
      <c r="M34" s="49"/>
      <c r="N34" s="49"/>
      <c r="O34" s="49"/>
      <c r="P34" s="49"/>
      <c r="Q34" s="49"/>
    </row>
    <row r="35" ht="15.75" customHeight="1">
      <c r="B35" s="310"/>
      <c r="C35" s="310" t="s">
        <v>277</v>
      </c>
      <c r="D35" s="319">
        <v>2875.0</v>
      </c>
      <c r="E35" s="301" t="s">
        <v>278</v>
      </c>
      <c r="F35" s="81"/>
      <c r="G35" s="306" t="str">
        <f>+'AUG TILL DATE '!P35</f>
        <v>#DIV/0!</v>
      </c>
      <c r="I35" s="49"/>
      <c r="J35" s="49"/>
      <c r="K35" s="49"/>
      <c r="L35" s="49"/>
      <c r="M35" s="49"/>
      <c r="N35" s="49"/>
      <c r="O35" s="49"/>
      <c r="P35" s="49"/>
      <c r="Q35" s="49"/>
    </row>
    <row r="36" ht="15.75" customHeight="1">
      <c r="B36" s="310"/>
      <c r="C36" s="312">
        <v>0.04</v>
      </c>
      <c r="D36" s="310">
        <f>+D35*4/100</f>
        <v>115</v>
      </c>
      <c r="E36" s="301" t="s">
        <v>259</v>
      </c>
      <c r="F36" s="81"/>
      <c r="G36" s="313" t="str">
        <f>+G34-G35</f>
        <v>#ERROR!</v>
      </c>
      <c r="I36" s="49"/>
      <c r="J36" s="49"/>
      <c r="K36" s="49"/>
      <c r="L36" s="49"/>
      <c r="M36" s="49"/>
      <c r="N36" s="49"/>
      <c r="O36" s="49"/>
      <c r="P36" s="49"/>
      <c r="Q36" s="49"/>
    </row>
    <row r="37" ht="15.75" customHeight="1">
      <c r="B37" s="310"/>
      <c r="C37" s="310"/>
      <c r="D37" s="310"/>
      <c r="E37" s="301" t="s">
        <v>262</v>
      </c>
      <c r="F37" s="81"/>
      <c r="G37" s="306">
        <v>250.0</v>
      </c>
      <c r="I37" s="49"/>
      <c r="J37" s="49"/>
      <c r="K37" s="49"/>
      <c r="L37" s="49"/>
      <c r="M37" s="49"/>
      <c r="N37" s="49"/>
      <c r="O37" s="49"/>
      <c r="P37" s="49"/>
      <c r="Q37" s="49"/>
    </row>
    <row r="38" ht="15.75" customHeight="1">
      <c r="B38" s="310"/>
      <c r="C38" s="310"/>
      <c r="D38" s="310"/>
      <c r="E38" s="301" t="s">
        <v>264</v>
      </c>
      <c r="F38" s="81"/>
      <c r="G38" s="306" t="str">
        <f>+G35*0.03</f>
        <v>#DIV/0!</v>
      </c>
      <c r="I38" s="49"/>
      <c r="J38" s="49"/>
      <c r="K38" s="49"/>
      <c r="L38" s="49"/>
      <c r="M38" s="49"/>
      <c r="N38" s="49"/>
      <c r="O38" s="49"/>
      <c r="P38" s="49"/>
      <c r="Q38" s="49"/>
    </row>
    <row r="39" ht="15.75" customHeight="1">
      <c r="B39" s="310"/>
      <c r="C39" s="310"/>
      <c r="D39" s="310"/>
      <c r="E39" s="301" t="s">
        <v>266</v>
      </c>
      <c r="F39" s="81"/>
      <c r="G39" s="315" t="str">
        <f>+G36+G38-G37</f>
        <v>#ERROR!</v>
      </c>
      <c r="I39" s="49"/>
      <c r="J39" s="49"/>
      <c r="K39" s="49"/>
      <c r="L39" s="49"/>
      <c r="M39" s="49"/>
      <c r="N39" s="49"/>
      <c r="O39" s="49"/>
      <c r="P39" s="49"/>
      <c r="Q39" s="49"/>
    </row>
    <row r="40" ht="15.75" customHeight="1">
      <c r="E40" s="301"/>
      <c r="F40" s="81"/>
      <c r="G40" s="306"/>
      <c r="I40" s="49"/>
      <c r="J40" s="49"/>
      <c r="K40" s="49"/>
      <c r="L40" s="49"/>
      <c r="M40" s="49"/>
      <c r="N40" s="49"/>
      <c r="O40" s="49"/>
      <c r="P40" s="49"/>
      <c r="Q40" s="49"/>
    </row>
    <row r="41" ht="15.75" customHeight="1">
      <c r="I41" s="49"/>
      <c r="J41" s="49"/>
      <c r="K41" s="49"/>
      <c r="L41" s="49"/>
      <c r="M41" s="49"/>
      <c r="N41" s="49"/>
      <c r="O41" s="49"/>
      <c r="P41" s="49"/>
      <c r="Q41" s="49"/>
    </row>
    <row r="42" ht="15.75" customHeight="1">
      <c r="I42" s="49"/>
      <c r="J42" s="49"/>
      <c r="K42" s="49"/>
      <c r="L42" s="49"/>
      <c r="M42" s="49"/>
      <c r="N42" s="49"/>
      <c r="O42" s="49"/>
      <c r="P42" s="49"/>
      <c r="Q42" s="49"/>
    </row>
    <row r="43" ht="15.75" customHeight="1">
      <c r="I43" s="49"/>
      <c r="J43" s="49"/>
      <c r="K43" s="49"/>
      <c r="L43" s="49"/>
      <c r="M43" s="49"/>
      <c r="N43" s="49"/>
      <c r="O43" s="49"/>
      <c r="P43" s="49"/>
      <c r="Q43" s="49"/>
    </row>
    <row r="44" ht="15.75" customHeight="1">
      <c r="I44" s="49"/>
      <c r="J44" s="49"/>
      <c r="K44" s="49"/>
      <c r="L44" s="49"/>
      <c r="M44" s="49"/>
      <c r="N44" s="49"/>
      <c r="O44" s="49"/>
      <c r="P44" s="49"/>
      <c r="Q44" s="49"/>
    </row>
    <row r="45" ht="15.75" customHeight="1">
      <c r="I45" s="49"/>
      <c r="J45" s="49"/>
      <c r="K45" s="49"/>
      <c r="L45" s="49"/>
      <c r="M45" s="49"/>
      <c r="N45" s="49"/>
      <c r="O45" s="49"/>
      <c r="P45" s="49"/>
      <c r="Q45" s="49"/>
    </row>
    <row r="46" ht="15.75" customHeight="1">
      <c r="I46" s="49"/>
      <c r="J46" s="49"/>
      <c r="K46" s="49"/>
      <c r="L46" s="49"/>
      <c r="M46" s="49"/>
      <c r="N46" s="49"/>
      <c r="O46" s="49"/>
      <c r="P46" s="49"/>
      <c r="Q46" s="49"/>
    </row>
    <row r="47" ht="15.75" customHeight="1">
      <c r="I47" s="49"/>
      <c r="J47" s="49"/>
      <c r="K47" s="49"/>
      <c r="L47" s="49"/>
      <c r="M47" s="49"/>
      <c r="N47" s="49"/>
      <c r="O47" s="49"/>
      <c r="P47" s="49"/>
      <c r="Q47" s="49"/>
    </row>
    <row r="48" ht="15.75" customHeight="1">
      <c r="I48" s="49"/>
      <c r="J48" s="49"/>
      <c r="K48" s="49"/>
      <c r="L48" s="49"/>
      <c r="M48" s="49"/>
      <c r="N48" s="49"/>
      <c r="O48" s="49"/>
      <c r="P48" s="49"/>
      <c r="Q48" s="49"/>
    </row>
    <row r="49" ht="15.75" customHeight="1">
      <c r="I49" s="49"/>
      <c r="J49" s="49"/>
      <c r="K49" s="49"/>
      <c r="L49" s="49"/>
      <c r="M49" s="49"/>
      <c r="N49" s="49"/>
      <c r="O49" s="49"/>
      <c r="P49" s="49"/>
      <c r="Q49" s="49"/>
    </row>
    <row r="50" ht="15.75" customHeight="1">
      <c r="I50" s="49"/>
      <c r="J50" s="49"/>
      <c r="K50" s="49"/>
      <c r="L50" s="49"/>
      <c r="M50" s="49"/>
      <c r="N50" s="49"/>
      <c r="O50" s="49"/>
      <c r="P50" s="49"/>
      <c r="Q50" s="49"/>
    </row>
    <row r="51" ht="15.75" customHeight="1">
      <c r="I51" s="49"/>
      <c r="J51" s="49"/>
      <c r="K51" s="49"/>
      <c r="L51" s="49"/>
      <c r="M51" s="49"/>
      <c r="N51" s="49"/>
      <c r="O51" s="49"/>
      <c r="P51" s="49"/>
      <c r="Q51" s="49"/>
    </row>
    <row r="52" ht="15.75" customHeight="1">
      <c r="I52" s="49"/>
      <c r="J52" s="49"/>
      <c r="K52" s="49"/>
      <c r="L52" s="49"/>
      <c r="M52" s="49"/>
      <c r="N52" s="49"/>
      <c r="O52" s="49"/>
      <c r="P52" s="49"/>
      <c r="Q52" s="49"/>
    </row>
    <row r="53" ht="15.75" customHeight="1">
      <c r="I53" s="49"/>
      <c r="J53" s="49"/>
      <c r="K53" s="49"/>
      <c r="L53" s="49"/>
      <c r="M53" s="49"/>
      <c r="N53" s="49"/>
      <c r="O53" s="49"/>
      <c r="P53" s="49"/>
      <c r="Q53" s="49"/>
    </row>
    <row r="54" ht="15.75" customHeight="1">
      <c r="I54" s="49"/>
      <c r="J54" s="49"/>
      <c r="K54" s="49"/>
      <c r="L54" s="49"/>
      <c r="M54" s="49"/>
      <c r="N54" s="49"/>
      <c r="O54" s="49"/>
      <c r="P54" s="49"/>
      <c r="Q54" s="49"/>
    </row>
    <row r="55" ht="15.75" customHeight="1">
      <c r="I55" s="49"/>
      <c r="J55" s="49"/>
      <c r="K55" s="49"/>
      <c r="L55" s="49"/>
      <c r="M55" s="49"/>
      <c r="N55" s="49"/>
      <c r="O55" s="49"/>
      <c r="P55" s="49"/>
      <c r="Q55" s="49"/>
    </row>
    <row r="56" ht="15.75" customHeight="1">
      <c r="I56" s="49"/>
      <c r="J56" s="49"/>
      <c r="K56" s="49"/>
      <c r="L56" s="49"/>
      <c r="M56" s="49"/>
      <c r="N56" s="49"/>
      <c r="O56" s="49"/>
      <c r="P56" s="49"/>
      <c r="Q56" s="49"/>
    </row>
    <row r="57" ht="15.75" customHeight="1">
      <c r="I57" s="49"/>
      <c r="J57" s="49"/>
      <c r="K57" s="49"/>
      <c r="L57" s="49"/>
      <c r="M57" s="49"/>
      <c r="N57" s="49"/>
      <c r="O57" s="49"/>
      <c r="P57" s="49"/>
      <c r="Q57" s="49"/>
    </row>
    <row r="58" ht="15.75" customHeight="1">
      <c r="I58" s="49"/>
      <c r="J58" s="49"/>
      <c r="K58" s="49"/>
      <c r="L58" s="49"/>
      <c r="M58" s="49"/>
      <c r="N58" s="49"/>
      <c r="O58" s="49"/>
      <c r="P58" s="49"/>
      <c r="Q58" s="49"/>
    </row>
    <row r="59" ht="15.75" customHeight="1">
      <c r="I59" s="49"/>
      <c r="J59" s="49"/>
      <c r="K59" s="49"/>
      <c r="L59" s="49"/>
      <c r="M59" s="49"/>
      <c r="N59" s="49"/>
      <c r="O59" s="49"/>
      <c r="P59" s="49"/>
      <c r="Q59" s="49"/>
    </row>
    <row r="60" ht="15.75" customHeight="1">
      <c r="I60" s="49"/>
      <c r="J60" s="49"/>
      <c r="K60" s="49"/>
      <c r="L60" s="49"/>
      <c r="M60" s="49"/>
      <c r="N60" s="49"/>
      <c r="O60" s="49"/>
      <c r="P60" s="49"/>
      <c r="Q60" s="49"/>
    </row>
    <row r="61" ht="15.75" customHeight="1">
      <c r="I61" s="49"/>
      <c r="J61" s="49"/>
      <c r="K61" s="49"/>
      <c r="L61" s="49"/>
      <c r="M61" s="49"/>
      <c r="N61" s="49"/>
      <c r="O61" s="49"/>
      <c r="P61" s="49"/>
      <c r="Q61" s="49"/>
    </row>
    <row r="62" ht="15.75" customHeight="1">
      <c r="I62" s="49"/>
      <c r="J62" s="49"/>
      <c r="K62" s="49"/>
      <c r="L62" s="49"/>
      <c r="M62" s="49"/>
      <c r="N62" s="49"/>
      <c r="O62" s="49"/>
      <c r="P62" s="49"/>
      <c r="Q62" s="49"/>
    </row>
    <row r="63" ht="15.75" customHeight="1">
      <c r="I63" s="49"/>
      <c r="J63" s="49"/>
      <c r="K63" s="49"/>
      <c r="L63" s="49"/>
      <c r="M63" s="49"/>
      <c r="N63" s="49"/>
      <c r="O63" s="49"/>
      <c r="P63" s="49"/>
      <c r="Q63" s="49"/>
    </row>
    <row r="64" ht="15.75" customHeight="1">
      <c r="I64" s="49"/>
      <c r="J64" s="49"/>
      <c r="K64" s="49"/>
      <c r="L64" s="49"/>
      <c r="M64" s="49"/>
      <c r="N64" s="49"/>
      <c r="O64" s="49"/>
      <c r="P64" s="49"/>
      <c r="Q64" s="49"/>
    </row>
    <row r="65" ht="15.75" customHeight="1">
      <c r="I65" s="49"/>
      <c r="J65" s="49"/>
      <c r="K65" s="49"/>
      <c r="L65" s="49"/>
      <c r="M65" s="49"/>
      <c r="N65" s="49"/>
      <c r="O65" s="49"/>
      <c r="P65" s="49"/>
      <c r="Q65" s="49"/>
    </row>
    <row r="66" ht="15.75" customHeight="1">
      <c r="I66" s="49"/>
      <c r="J66" s="49"/>
      <c r="K66" s="49"/>
      <c r="L66" s="49"/>
      <c r="M66" s="49"/>
      <c r="N66" s="49"/>
      <c r="O66" s="49"/>
      <c r="P66" s="49"/>
      <c r="Q66" s="49"/>
    </row>
    <row r="67" ht="15.75" customHeight="1">
      <c r="I67" s="49"/>
      <c r="J67" s="49"/>
      <c r="K67" s="49"/>
      <c r="L67" s="49"/>
      <c r="M67" s="49"/>
      <c r="N67" s="49"/>
      <c r="O67" s="49"/>
      <c r="P67" s="49"/>
      <c r="Q67" s="49"/>
    </row>
    <row r="68" ht="15.75" customHeight="1">
      <c r="I68" s="49"/>
      <c r="J68" s="49"/>
      <c r="K68" s="49"/>
      <c r="L68" s="49"/>
      <c r="M68" s="49"/>
      <c r="N68" s="49"/>
      <c r="O68" s="49"/>
      <c r="P68" s="49"/>
      <c r="Q68" s="49"/>
    </row>
    <row r="69" ht="15.75" customHeight="1">
      <c r="I69" s="49"/>
      <c r="J69" s="49"/>
      <c r="K69" s="49"/>
      <c r="L69" s="49"/>
      <c r="M69" s="49"/>
      <c r="N69" s="49"/>
      <c r="O69" s="49"/>
      <c r="P69" s="49"/>
      <c r="Q69" s="49"/>
    </row>
    <row r="70" ht="15.75" customHeight="1">
      <c r="I70" s="49"/>
      <c r="J70" s="49"/>
      <c r="K70" s="49"/>
      <c r="L70" s="49"/>
      <c r="M70" s="49"/>
      <c r="N70" s="49"/>
      <c r="O70" s="49"/>
      <c r="P70" s="49"/>
      <c r="Q70" s="49"/>
    </row>
    <row r="71" ht="15.75" customHeight="1">
      <c r="I71" s="49"/>
      <c r="J71" s="49"/>
      <c r="K71" s="49"/>
      <c r="L71" s="49"/>
      <c r="M71" s="49"/>
      <c r="N71" s="49"/>
      <c r="O71" s="49"/>
      <c r="P71" s="49"/>
      <c r="Q71" s="49"/>
    </row>
    <row r="72" ht="15.75" customHeight="1">
      <c r="I72" s="49"/>
      <c r="J72" s="49"/>
      <c r="K72" s="49"/>
      <c r="L72" s="49"/>
      <c r="M72" s="49"/>
      <c r="N72" s="49"/>
      <c r="O72" s="49"/>
      <c r="P72" s="49"/>
      <c r="Q72" s="49"/>
    </row>
    <row r="73" ht="15.75" customHeight="1">
      <c r="I73" s="49"/>
      <c r="J73" s="49"/>
      <c r="K73" s="49"/>
      <c r="L73" s="49"/>
      <c r="M73" s="49"/>
      <c r="N73" s="49"/>
      <c r="O73" s="49"/>
      <c r="P73" s="49"/>
      <c r="Q73" s="49"/>
    </row>
    <row r="74" ht="15.75" customHeight="1">
      <c r="I74" s="49"/>
      <c r="J74" s="49"/>
      <c r="K74" s="49"/>
      <c r="L74" s="49"/>
      <c r="M74" s="49"/>
      <c r="N74" s="49"/>
      <c r="O74" s="49"/>
      <c r="P74" s="49"/>
      <c r="Q74" s="49"/>
    </row>
    <row r="75" ht="15.75" customHeight="1">
      <c r="I75" s="49"/>
      <c r="J75" s="49"/>
      <c r="K75" s="49"/>
      <c r="L75" s="49"/>
      <c r="M75" s="49"/>
      <c r="N75" s="49"/>
      <c r="O75" s="49"/>
      <c r="P75" s="49"/>
      <c r="Q75" s="49"/>
    </row>
    <row r="76" ht="15.75" customHeight="1">
      <c r="I76" s="49"/>
      <c r="J76" s="49"/>
      <c r="K76" s="49"/>
      <c r="L76" s="49"/>
      <c r="M76" s="49"/>
      <c r="N76" s="49"/>
      <c r="O76" s="49"/>
      <c r="P76" s="49"/>
      <c r="Q76" s="49"/>
    </row>
    <row r="77" ht="15.75" customHeight="1">
      <c r="I77" s="49"/>
      <c r="J77" s="49"/>
      <c r="K77" s="49"/>
      <c r="L77" s="49"/>
      <c r="M77" s="49"/>
      <c r="N77" s="49"/>
      <c r="O77" s="49"/>
      <c r="P77" s="49"/>
      <c r="Q77" s="49"/>
    </row>
    <row r="78" ht="15.75" customHeight="1">
      <c r="I78" s="49"/>
      <c r="J78" s="49"/>
      <c r="K78" s="49"/>
      <c r="L78" s="49"/>
      <c r="M78" s="49"/>
      <c r="N78" s="49"/>
      <c r="O78" s="49"/>
      <c r="P78" s="49"/>
      <c r="Q78" s="49"/>
    </row>
    <row r="79" ht="15.75" customHeight="1">
      <c r="I79" s="49"/>
      <c r="J79" s="49"/>
      <c r="K79" s="49"/>
      <c r="L79" s="49"/>
      <c r="M79" s="49"/>
      <c r="N79" s="49"/>
      <c r="O79" s="49"/>
      <c r="P79" s="49"/>
      <c r="Q79" s="49"/>
    </row>
    <row r="80" ht="15.75" customHeight="1">
      <c r="I80" s="49"/>
      <c r="J80" s="49"/>
      <c r="K80" s="49"/>
      <c r="L80" s="49"/>
      <c r="M80" s="49"/>
      <c r="N80" s="49"/>
      <c r="O80" s="49"/>
      <c r="P80" s="49"/>
      <c r="Q80" s="49"/>
    </row>
    <row r="81" ht="15.75" customHeight="1">
      <c r="I81" s="49"/>
      <c r="J81" s="49"/>
      <c r="K81" s="49"/>
      <c r="L81" s="49"/>
      <c r="M81" s="49"/>
      <c r="N81" s="49"/>
      <c r="O81" s="49"/>
      <c r="P81" s="49"/>
      <c r="Q81" s="49"/>
    </row>
    <row r="82" ht="15.75" customHeight="1">
      <c r="I82" s="49"/>
      <c r="J82" s="49"/>
      <c r="K82" s="49"/>
      <c r="L82" s="49"/>
      <c r="M82" s="49"/>
      <c r="N82" s="49"/>
      <c r="O82" s="49"/>
      <c r="P82" s="49"/>
      <c r="Q82" s="49"/>
    </row>
    <row r="83" ht="15.75" customHeight="1">
      <c r="I83" s="49"/>
      <c r="J83" s="49"/>
      <c r="K83" s="49"/>
      <c r="L83" s="49"/>
      <c r="M83" s="49"/>
      <c r="N83" s="49"/>
      <c r="O83" s="49"/>
      <c r="P83" s="49"/>
      <c r="Q83" s="49"/>
    </row>
    <row r="84" ht="15.75" customHeight="1">
      <c r="I84" s="49"/>
      <c r="J84" s="49"/>
      <c r="K84" s="49"/>
      <c r="L84" s="49"/>
      <c r="M84" s="49"/>
      <c r="N84" s="49"/>
      <c r="O84" s="49"/>
      <c r="P84" s="49"/>
      <c r="Q84" s="49"/>
    </row>
    <row r="85" ht="15.75" customHeight="1">
      <c r="I85" s="49"/>
      <c r="J85" s="49"/>
      <c r="K85" s="49"/>
      <c r="L85" s="49"/>
      <c r="M85" s="49"/>
      <c r="N85" s="49"/>
      <c r="O85" s="49"/>
      <c r="P85" s="49"/>
      <c r="Q85" s="49"/>
    </row>
    <row r="86" ht="15.75" customHeight="1">
      <c r="I86" s="49"/>
      <c r="J86" s="49"/>
      <c r="K86" s="49"/>
      <c r="L86" s="49"/>
      <c r="M86" s="49"/>
      <c r="N86" s="49"/>
      <c r="O86" s="49"/>
      <c r="P86" s="49"/>
      <c r="Q86" s="49"/>
    </row>
    <row r="87" ht="15.75" customHeight="1">
      <c r="I87" s="49"/>
      <c r="J87" s="49"/>
      <c r="K87" s="49"/>
      <c r="L87" s="49"/>
      <c r="M87" s="49"/>
      <c r="N87" s="49"/>
      <c r="O87" s="49"/>
      <c r="P87" s="49"/>
      <c r="Q87" s="49"/>
    </row>
    <row r="88" ht="15.75" customHeight="1">
      <c r="I88" s="49"/>
      <c r="J88" s="49"/>
      <c r="K88" s="49"/>
      <c r="L88" s="49"/>
      <c r="M88" s="49"/>
      <c r="N88" s="49"/>
      <c r="O88" s="49"/>
      <c r="P88" s="49"/>
      <c r="Q88" s="49"/>
    </row>
    <row r="89" ht="15.75" customHeight="1">
      <c r="I89" s="49"/>
      <c r="J89" s="49"/>
      <c r="K89" s="49"/>
      <c r="L89" s="49"/>
      <c r="M89" s="49"/>
      <c r="N89" s="49"/>
      <c r="O89" s="49"/>
      <c r="P89" s="49"/>
      <c r="Q89" s="49"/>
    </row>
    <row r="90" ht="15.75" customHeight="1">
      <c r="I90" s="49"/>
      <c r="J90" s="49"/>
      <c r="K90" s="49"/>
      <c r="L90" s="49"/>
      <c r="M90" s="49"/>
      <c r="N90" s="49"/>
      <c r="O90" s="49"/>
      <c r="P90" s="49"/>
      <c r="Q90" s="49"/>
    </row>
    <row r="91" ht="15.75" customHeight="1">
      <c r="I91" s="49"/>
      <c r="J91" s="49"/>
      <c r="K91" s="49"/>
      <c r="L91" s="49"/>
      <c r="M91" s="49"/>
      <c r="N91" s="49"/>
      <c r="O91" s="49"/>
      <c r="P91" s="49"/>
      <c r="Q91" s="49"/>
    </row>
    <row r="92" ht="15.75" customHeight="1">
      <c r="I92" s="49"/>
      <c r="J92" s="49"/>
      <c r="K92" s="49"/>
      <c r="L92" s="49"/>
      <c r="M92" s="49"/>
      <c r="N92" s="49"/>
      <c r="O92" s="49"/>
      <c r="P92" s="49"/>
      <c r="Q92" s="49"/>
    </row>
    <row r="93" ht="15.75" customHeight="1">
      <c r="I93" s="49"/>
      <c r="J93" s="49"/>
      <c r="K93" s="49"/>
      <c r="L93" s="49"/>
      <c r="M93" s="49"/>
      <c r="N93" s="49"/>
      <c r="O93" s="49"/>
      <c r="P93" s="49"/>
      <c r="Q93" s="49"/>
    </row>
    <row r="94" ht="15.75" customHeight="1">
      <c r="I94" s="49"/>
      <c r="J94" s="49"/>
      <c r="K94" s="49"/>
      <c r="L94" s="49"/>
      <c r="M94" s="49"/>
      <c r="N94" s="49"/>
      <c r="O94" s="49"/>
      <c r="P94" s="49"/>
      <c r="Q94" s="49"/>
    </row>
    <row r="95" ht="15.75" customHeight="1">
      <c r="I95" s="49"/>
      <c r="J95" s="49"/>
      <c r="K95" s="49"/>
      <c r="L95" s="49"/>
      <c r="M95" s="49"/>
      <c r="N95" s="49"/>
      <c r="O95" s="49"/>
      <c r="P95" s="49"/>
      <c r="Q95" s="49"/>
    </row>
    <row r="96" ht="15.75" customHeight="1">
      <c r="I96" s="49"/>
      <c r="J96" s="49"/>
      <c r="K96" s="49"/>
      <c r="L96" s="49"/>
      <c r="M96" s="49"/>
      <c r="N96" s="49"/>
      <c r="O96" s="49"/>
      <c r="P96" s="49"/>
      <c r="Q96" s="49"/>
    </row>
    <row r="97" ht="15.75" customHeight="1">
      <c r="I97" s="49"/>
      <c r="J97" s="49"/>
      <c r="K97" s="49"/>
      <c r="L97" s="49"/>
      <c r="M97" s="49"/>
      <c r="N97" s="49"/>
      <c r="O97" s="49"/>
      <c r="P97" s="49"/>
      <c r="Q97" s="49"/>
    </row>
    <row r="98" ht="15.75" customHeight="1">
      <c r="I98" s="49"/>
      <c r="J98" s="49"/>
      <c r="K98" s="49"/>
      <c r="L98" s="49"/>
      <c r="M98" s="49"/>
      <c r="N98" s="49"/>
      <c r="O98" s="49"/>
      <c r="P98" s="49"/>
      <c r="Q98" s="49"/>
    </row>
    <row r="99" ht="15.75" customHeight="1">
      <c r="I99" s="49"/>
      <c r="J99" s="49"/>
      <c r="K99" s="49"/>
      <c r="L99" s="49"/>
      <c r="M99" s="49"/>
      <c r="N99" s="49"/>
      <c r="O99" s="49"/>
      <c r="P99" s="49"/>
      <c r="Q99" s="49"/>
    </row>
    <row r="100" ht="15.75" customHeight="1">
      <c r="I100" s="49"/>
      <c r="J100" s="49"/>
      <c r="K100" s="49"/>
      <c r="L100" s="49"/>
      <c r="M100" s="49"/>
      <c r="N100" s="49"/>
      <c r="O100" s="49"/>
      <c r="P100" s="49"/>
      <c r="Q100" s="49"/>
    </row>
    <row r="101" ht="15.75" customHeight="1">
      <c r="I101" s="49"/>
      <c r="J101" s="49"/>
      <c r="K101" s="49"/>
      <c r="L101" s="49"/>
      <c r="M101" s="49"/>
      <c r="N101" s="49"/>
      <c r="O101" s="49"/>
      <c r="P101" s="49"/>
      <c r="Q101" s="49"/>
    </row>
    <row r="102" ht="15.75" customHeight="1">
      <c r="I102" s="49"/>
      <c r="J102" s="49"/>
      <c r="K102" s="49"/>
      <c r="L102" s="49"/>
      <c r="M102" s="49"/>
      <c r="N102" s="49"/>
      <c r="O102" s="49"/>
      <c r="P102" s="49"/>
      <c r="Q102" s="49"/>
    </row>
    <row r="103" ht="15.75" customHeight="1">
      <c r="I103" s="49"/>
      <c r="J103" s="49"/>
      <c r="K103" s="49"/>
      <c r="L103" s="49"/>
      <c r="M103" s="49"/>
      <c r="N103" s="49"/>
      <c r="O103" s="49"/>
      <c r="P103" s="49"/>
      <c r="Q103" s="49"/>
    </row>
    <row r="104" ht="15.75" customHeight="1">
      <c r="I104" s="49"/>
      <c r="J104" s="49"/>
      <c r="K104" s="49"/>
      <c r="L104" s="49"/>
      <c r="M104" s="49"/>
      <c r="N104" s="49"/>
      <c r="O104" s="49"/>
      <c r="P104" s="49"/>
      <c r="Q104" s="49"/>
    </row>
    <row r="105" ht="15.75" customHeight="1">
      <c r="I105" s="49"/>
      <c r="J105" s="49"/>
      <c r="K105" s="49"/>
      <c r="L105" s="49"/>
      <c r="M105" s="49"/>
      <c r="N105" s="49"/>
      <c r="O105" s="49"/>
      <c r="P105" s="49"/>
      <c r="Q105" s="49"/>
    </row>
    <row r="106" ht="15.75" customHeight="1">
      <c r="I106" s="49"/>
      <c r="J106" s="49"/>
      <c r="K106" s="49"/>
      <c r="L106" s="49"/>
      <c r="M106" s="49"/>
      <c r="N106" s="49"/>
      <c r="O106" s="49"/>
      <c r="P106" s="49"/>
      <c r="Q106" s="49"/>
    </row>
    <row r="107" ht="15.75" customHeight="1">
      <c r="I107" s="49"/>
      <c r="J107" s="49"/>
      <c r="K107" s="49"/>
      <c r="L107" s="49"/>
      <c r="M107" s="49"/>
      <c r="N107" s="49"/>
      <c r="O107" s="49"/>
      <c r="P107" s="49"/>
      <c r="Q107" s="49"/>
    </row>
    <row r="108" ht="15.75" customHeight="1">
      <c r="I108" s="49"/>
      <c r="J108" s="49"/>
      <c r="K108" s="49"/>
      <c r="L108" s="49"/>
      <c r="M108" s="49"/>
      <c r="N108" s="49"/>
      <c r="O108" s="49"/>
      <c r="P108" s="49"/>
      <c r="Q108" s="49"/>
    </row>
    <row r="109" ht="15.75" customHeight="1">
      <c r="I109" s="49"/>
      <c r="J109" s="49"/>
      <c r="K109" s="49"/>
      <c r="L109" s="49"/>
      <c r="M109" s="49"/>
      <c r="N109" s="49"/>
      <c r="O109" s="49"/>
      <c r="P109" s="49"/>
      <c r="Q109" s="49"/>
    </row>
    <row r="110" ht="15.75" customHeight="1">
      <c r="I110" s="49"/>
      <c r="J110" s="49"/>
      <c r="K110" s="49"/>
      <c r="L110" s="49"/>
      <c r="M110" s="49"/>
      <c r="N110" s="49"/>
      <c r="O110" s="49"/>
      <c r="P110" s="49"/>
      <c r="Q110" s="49"/>
    </row>
    <row r="111" ht="15.75" customHeight="1">
      <c r="I111" s="49"/>
      <c r="J111" s="49"/>
      <c r="K111" s="49"/>
      <c r="L111" s="49"/>
      <c r="M111" s="49"/>
      <c r="N111" s="49"/>
      <c r="O111" s="49"/>
      <c r="P111" s="49"/>
      <c r="Q111" s="49"/>
    </row>
    <row r="112" ht="15.75" customHeight="1">
      <c r="I112" s="49"/>
      <c r="J112" s="49"/>
      <c r="K112" s="49"/>
      <c r="L112" s="49"/>
      <c r="M112" s="49"/>
      <c r="N112" s="49"/>
      <c r="O112" s="49"/>
      <c r="P112" s="49"/>
      <c r="Q112" s="49"/>
    </row>
    <row r="113" ht="15.75" customHeight="1">
      <c r="I113" s="49"/>
      <c r="J113" s="49"/>
      <c r="K113" s="49"/>
      <c r="L113" s="49"/>
      <c r="M113" s="49"/>
      <c r="N113" s="49"/>
      <c r="O113" s="49"/>
      <c r="P113" s="49"/>
      <c r="Q113" s="49"/>
    </row>
    <row r="114" ht="15.75" customHeight="1">
      <c r="I114" s="49"/>
      <c r="J114" s="49"/>
      <c r="K114" s="49"/>
      <c r="L114" s="49"/>
      <c r="M114" s="49"/>
      <c r="N114" s="49"/>
      <c r="O114" s="49"/>
      <c r="P114" s="49"/>
      <c r="Q114" s="49"/>
    </row>
    <row r="115" ht="15.75" customHeight="1">
      <c r="I115" s="49"/>
      <c r="J115" s="49"/>
      <c r="K115" s="49"/>
      <c r="L115" s="49"/>
      <c r="M115" s="49"/>
      <c r="N115" s="49"/>
      <c r="O115" s="49"/>
      <c r="P115" s="49"/>
      <c r="Q115" s="49"/>
    </row>
    <row r="116" ht="15.75" customHeight="1">
      <c r="I116" s="49"/>
      <c r="J116" s="49"/>
      <c r="K116" s="49"/>
      <c r="L116" s="49"/>
      <c r="M116" s="49"/>
      <c r="N116" s="49"/>
      <c r="O116" s="49"/>
      <c r="P116" s="49"/>
      <c r="Q116" s="49"/>
    </row>
    <row r="117" ht="15.75" customHeight="1">
      <c r="I117" s="49"/>
      <c r="J117" s="49"/>
      <c r="K117" s="49"/>
      <c r="L117" s="49"/>
      <c r="M117" s="49"/>
      <c r="N117" s="49"/>
      <c r="O117" s="49"/>
      <c r="P117" s="49"/>
      <c r="Q117" s="49"/>
    </row>
    <row r="118" ht="15.75" customHeight="1">
      <c r="I118" s="49"/>
      <c r="J118" s="49"/>
      <c r="K118" s="49"/>
      <c r="L118" s="49"/>
      <c r="M118" s="49"/>
      <c r="N118" s="49"/>
      <c r="O118" s="49"/>
      <c r="P118" s="49"/>
      <c r="Q118" s="49"/>
    </row>
    <row r="119" ht="15.75" customHeight="1">
      <c r="I119" s="49"/>
      <c r="J119" s="49"/>
      <c r="K119" s="49"/>
      <c r="L119" s="49"/>
      <c r="M119" s="49"/>
      <c r="N119" s="49"/>
      <c r="O119" s="49"/>
      <c r="P119" s="49"/>
      <c r="Q119" s="49"/>
    </row>
    <row r="120" ht="15.75" customHeight="1">
      <c r="I120" s="49"/>
      <c r="J120" s="49"/>
      <c r="K120" s="49"/>
      <c r="L120" s="49"/>
      <c r="M120" s="49"/>
      <c r="N120" s="49"/>
      <c r="O120" s="49"/>
      <c r="P120" s="49"/>
      <c r="Q120" s="49"/>
    </row>
    <row r="121" ht="15.75" customHeight="1">
      <c r="I121" s="49"/>
      <c r="J121" s="49"/>
      <c r="K121" s="49"/>
      <c r="L121" s="49"/>
      <c r="M121" s="49"/>
      <c r="N121" s="49"/>
      <c r="O121" s="49"/>
      <c r="P121" s="49"/>
      <c r="Q121" s="49"/>
    </row>
    <row r="122" ht="15.75" customHeight="1">
      <c r="I122" s="49"/>
      <c r="J122" s="49"/>
      <c r="K122" s="49"/>
      <c r="L122" s="49"/>
      <c r="M122" s="49"/>
      <c r="N122" s="49"/>
      <c r="O122" s="49"/>
      <c r="P122" s="49"/>
      <c r="Q122" s="49"/>
    </row>
    <row r="123" ht="15.75" customHeight="1">
      <c r="I123" s="49"/>
      <c r="J123" s="49"/>
      <c r="K123" s="49"/>
      <c r="L123" s="49"/>
      <c r="M123" s="49"/>
      <c r="N123" s="49"/>
      <c r="O123" s="49"/>
      <c r="P123" s="49"/>
      <c r="Q123" s="49"/>
    </row>
    <row r="124" ht="15.75" customHeight="1">
      <c r="I124" s="49"/>
      <c r="J124" s="49"/>
      <c r="K124" s="49"/>
      <c r="L124" s="49"/>
      <c r="M124" s="49"/>
      <c r="N124" s="49"/>
      <c r="O124" s="49"/>
      <c r="P124" s="49"/>
      <c r="Q124" s="49"/>
    </row>
    <row r="125" ht="15.75" customHeight="1">
      <c r="I125" s="49"/>
      <c r="J125" s="49"/>
      <c r="K125" s="49"/>
      <c r="L125" s="49"/>
      <c r="M125" s="49"/>
      <c r="N125" s="49"/>
      <c r="O125" s="49"/>
      <c r="P125" s="49"/>
      <c r="Q125" s="49"/>
    </row>
    <row r="126" ht="15.75" customHeight="1">
      <c r="I126" s="49"/>
      <c r="J126" s="49"/>
      <c r="K126" s="49"/>
      <c r="L126" s="49"/>
      <c r="M126" s="49"/>
      <c r="N126" s="49"/>
      <c r="O126" s="49"/>
      <c r="P126" s="49"/>
      <c r="Q126" s="49"/>
    </row>
    <row r="127" ht="15.75" customHeight="1">
      <c r="I127" s="49"/>
      <c r="J127" s="49"/>
      <c r="K127" s="49"/>
      <c r="L127" s="49"/>
      <c r="M127" s="49"/>
      <c r="N127" s="49"/>
      <c r="O127" s="49"/>
      <c r="P127" s="49"/>
      <c r="Q127" s="49"/>
    </row>
    <row r="128" ht="15.75" customHeight="1">
      <c r="I128" s="49"/>
      <c r="J128" s="49"/>
      <c r="K128" s="49"/>
      <c r="L128" s="49"/>
      <c r="M128" s="49"/>
      <c r="N128" s="49"/>
      <c r="O128" s="49"/>
      <c r="P128" s="49"/>
      <c r="Q128" s="49"/>
    </row>
    <row r="129" ht="15.75" customHeight="1">
      <c r="I129" s="49"/>
      <c r="J129" s="49"/>
      <c r="K129" s="49"/>
      <c r="L129" s="49"/>
      <c r="M129" s="49"/>
      <c r="N129" s="49"/>
      <c r="O129" s="49"/>
      <c r="P129" s="49"/>
      <c r="Q129" s="49"/>
    </row>
    <row r="130" ht="15.75" customHeight="1">
      <c r="I130" s="49"/>
      <c r="J130" s="49"/>
      <c r="K130" s="49"/>
      <c r="L130" s="49"/>
      <c r="M130" s="49"/>
      <c r="N130" s="49"/>
      <c r="O130" s="49"/>
      <c r="P130" s="49"/>
      <c r="Q130" s="49"/>
    </row>
    <row r="131" ht="15.75" customHeight="1">
      <c r="I131" s="49"/>
      <c r="J131" s="49"/>
      <c r="K131" s="49"/>
      <c r="L131" s="49"/>
      <c r="M131" s="49"/>
      <c r="N131" s="49"/>
      <c r="O131" s="49"/>
      <c r="P131" s="49"/>
      <c r="Q131" s="49"/>
    </row>
    <row r="132" ht="15.75" customHeight="1">
      <c r="I132" s="49"/>
      <c r="J132" s="49"/>
      <c r="K132" s="49"/>
      <c r="L132" s="49"/>
      <c r="M132" s="49"/>
      <c r="N132" s="49"/>
      <c r="O132" s="49"/>
      <c r="P132" s="49"/>
      <c r="Q132" s="49"/>
    </row>
    <row r="133" ht="15.75" customHeight="1">
      <c r="I133" s="49"/>
      <c r="J133" s="49"/>
      <c r="K133" s="49"/>
      <c r="L133" s="49"/>
      <c r="M133" s="49"/>
      <c r="N133" s="49"/>
      <c r="O133" s="49"/>
      <c r="P133" s="49"/>
      <c r="Q133" s="49"/>
    </row>
    <row r="134" ht="15.75" customHeight="1">
      <c r="I134" s="49"/>
      <c r="J134" s="49"/>
      <c r="K134" s="49"/>
      <c r="L134" s="49"/>
      <c r="M134" s="49"/>
      <c r="N134" s="49"/>
      <c r="O134" s="49"/>
      <c r="P134" s="49"/>
      <c r="Q134" s="49"/>
    </row>
    <row r="135" ht="15.75" customHeight="1">
      <c r="I135" s="49"/>
      <c r="J135" s="49"/>
      <c r="K135" s="49"/>
      <c r="L135" s="49"/>
      <c r="M135" s="49"/>
      <c r="N135" s="49"/>
      <c r="O135" s="49"/>
      <c r="P135" s="49"/>
      <c r="Q135" s="49"/>
    </row>
    <row r="136" ht="15.75" customHeight="1">
      <c r="I136" s="49"/>
      <c r="J136" s="49"/>
      <c r="K136" s="49"/>
      <c r="L136" s="49"/>
      <c r="M136" s="49"/>
      <c r="N136" s="49"/>
      <c r="O136" s="49"/>
      <c r="P136" s="49"/>
      <c r="Q136" s="49"/>
    </row>
    <row r="137" ht="15.75" customHeight="1">
      <c r="I137" s="49"/>
      <c r="J137" s="49"/>
      <c r="K137" s="49"/>
      <c r="L137" s="49"/>
      <c r="M137" s="49"/>
      <c r="N137" s="49"/>
      <c r="O137" s="49"/>
      <c r="P137" s="49"/>
      <c r="Q137" s="49"/>
    </row>
    <row r="138" ht="15.75" customHeight="1">
      <c r="I138" s="49"/>
      <c r="J138" s="49"/>
      <c r="K138" s="49"/>
      <c r="L138" s="49"/>
      <c r="M138" s="49"/>
      <c r="N138" s="49"/>
      <c r="O138" s="49"/>
      <c r="P138" s="49"/>
      <c r="Q138" s="49"/>
    </row>
    <row r="139" ht="15.75" customHeight="1">
      <c r="I139" s="49"/>
      <c r="J139" s="49"/>
      <c r="K139" s="49"/>
      <c r="L139" s="49"/>
      <c r="M139" s="49"/>
      <c r="N139" s="49"/>
      <c r="O139" s="49"/>
      <c r="P139" s="49"/>
      <c r="Q139" s="49"/>
    </row>
    <row r="140" ht="15.75" customHeight="1">
      <c r="I140" s="49"/>
      <c r="J140" s="49"/>
      <c r="K140" s="49"/>
      <c r="L140" s="49"/>
      <c r="M140" s="49"/>
      <c r="N140" s="49"/>
      <c r="O140" s="49"/>
      <c r="P140" s="49"/>
      <c r="Q140" s="49"/>
    </row>
    <row r="141" ht="15.75" customHeight="1">
      <c r="I141" s="49"/>
      <c r="J141" s="49"/>
      <c r="K141" s="49"/>
      <c r="L141" s="49"/>
      <c r="M141" s="49"/>
      <c r="N141" s="49"/>
      <c r="O141" s="49"/>
      <c r="P141" s="49"/>
      <c r="Q141" s="49"/>
    </row>
    <row r="142" ht="15.75" customHeight="1">
      <c r="I142" s="49"/>
      <c r="J142" s="49"/>
      <c r="K142" s="49"/>
      <c r="L142" s="49"/>
      <c r="M142" s="49"/>
      <c r="N142" s="49"/>
      <c r="O142" s="49"/>
      <c r="P142" s="49"/>
      <c r="Q142" s="49"/>
    </row>
    <row r="143" ht="15.75" customHeight="1">
      <c r="I143" s="49"/>
      <c r="J143" s="49"/>
      <c r="K143" s="49"/>
      <c r="L143" s="49"/>
      <c r="M143" s="49"/>
      <c r="N143" s="49"/>
      <c r="O143" s="49"/>
      <c r="P143" s="49"/>
      <c r="Q143" s="49"/>
    </row>
    <row r="144" ht="15.75" customHeight="1">
      <c r="I144" s="49"/>
      <c r="J144" s="49"/>
      <c r="K144" s="49"/>
      <c r="L144" s="49"/>
      <c r="M144" s="49"/>
      <c r="N144" s="49"/>
      <c r="O144" s="49"/>
      <c r="P144" s="49"/>
      <c r="Q144" s="49"/>
    </row>
    <row r="145" ht="15.75" customHeight="1">
      <c r="I145" s="49"/>
      <c r="J145" s="49"/>
      <c r="K145" s="49"/>
      <c r="L145" s="49"/>
      <c r="M145" s="49"/>
      <c r="N145" s="49"/>
      <c r="O145" s="49"/>
      <c r="P145" s="49"/>
      <c r="Q145" s="49"/>
    </row>
    <row r="146" ht="15.75" customHeight="1">
      <c r="I146" s="49"/>
      <c r="J146" s="49"/>
      <c r="K146" s="49"/>
      <c r="L146" s="49"/>
      <c r="M146" s="49"/>
      <c r="N146" s="49"/>
      <c r="O146" s="49"/>
      <c r="P146" s="49"/>
      <c r="Q146" s="49"/>
    </row>
    <row r="147" ht="15.75" customHeight="1">
      <c r="I147" s="49"/>
      <c r="J147" s="49"/>
      <c r="K147" s="49"/>
      <c r="L147" s="49"/>
      <c r="M147" s="49"/>
      <c r="N147" s="49"/>
      <c r="O147" s="49"/>
      <c r="P147" s="49"/>
      <c r="Q147" s="49"/>
    </row>
    <row r="148" ht="15.75" customHeight="1">
      <c r="I148" s="49"/>
      <c r="J148" s="49"/>
      <c r="K148" s="49"/>
      <c r="L148" s="49"/>
      <c r="M148" s="49"/>
      <c r="N148" s="49"/>
      <c r="O148" s="49"/>
      <c r="P148" s="49"/>
      <c r="Q148" s="49"/>
    </row>
    <row r="149" ht="15.75" customHeight="1">
      <c r="I149" s="49"/>
      <c r="J149" s="49"/>
      <c r="K149" s="49"/>
      <c r="L149" s="49"/>
      <c r="M149" s="49"/>
      <c r="N149" s="49"/>
      <c r="O149" s="49"/>
      <c r="P149" s="49"/>
      <c r="Q149" s="49"/>
    </row>
    <row r="150" ht="15.75" customHeight="1">
      <c r="I150" s="49"/>
      <c r="J150" s="49"/>
      <c r="K150" s="49"/>
      <c r="L150" s="49"/>
      <c r="M150" s="49"/>
      <c r="N150" s="49"/>
      <c r="O150" s="49"/>
      <c r="P150" s="49"/>
      <c r="Q150" s="49"/>
    </row>
    <row r="151" ht="15.75" customHeight="1">
      <c r="I151" s="49"/>
      <c r="J151" s="49"/>
      <c r="K151" s="49"/>
      <c r="L151" s="49"/>
      <c r="M151" s="49"/>
      <c r="N151" s="49"/>
      <c r="O151" s="49"/>
      <c r="P151" s="49"/>
      <c r="Q151" s="49"/>
    </row>
    <row r="152" ht="15.75" customHeight="1">
      <c r="I152" s="49"/>
      <c r="J152" s="49"/>
      <c r="K152" s="49"/>
      <c r="L152" s="49"/>
      <c r="M152" s="49"/>
      <c r="N152" s="49"/>
      <c r="O152" s="49"/>
      <c r="P152" s="49"/>
      <c r="Q152" s="49"/>
    </row>
    <row r="153" ht="15.75" customHeight="1">
      <c r="I153" s="49"/>
      <c r="J153" s="49"/>
      <c r="K153" s="49"/>
      <c r="L153" s="49"/>
      <c r="M153" s="49"/>
      <c r="N153" s="49"/>
      <c r="O153" s="49"/>
      <c r="P153" s="49"/>
      <c r="Q153" s="49"/>
    </row>
    <row r="154" ht="15.75" customHeight="1">
      <c r="I154" s="49"/>
      <c r="J154" s="49"/>
      <c r="K154" s="49"/>
      <c r="L154" s="49"/>
      <c r="M154" s="49"/>
      <c r="N154" s="49"/>
      <c r="O154" s="49"/>
      <c r="P154" s="49"/>
      <c r="Q154" s="49"/>
    </row>
    <row r="155" ht="15.75" customHeight="1">
      <c r="I155" s="49"/>
      <c r="J155" s="49"/>
      <c r="K155" s="49"/>
      <c r="L155" s="49"/>
      <c r="M155" s="49"/>
      <c r="N155" s="49"/>
      <c r="O155" s="49"/>
      <c r="P155" s="49"/>
      <c r="Q155" s="49"/>
    </row>
    <row r="156" ht="15.75" customHeight="1">
      <c r="I156" s="49"/>
      <c r="J156" s="49"/>
      <c r="K156" s="49"/>
      <c r="L156" s="49"/>
      <c r="M156" s="49"/>
      <c r="N156" s="49"/>
      <c r="O156" s="49"/>
      <c r="P156" s="49"/>
      <c r="Q156" s="49"/>
    </row>
    <row r="157" ht="15.75" customHeight="1">
      <c r="I157" s="49"/>
      <c r="J157" s="49"/>
      <c r="K157" s="49"/>
      <c r="L157" s="49"/>
      <c r="M157" s="49"/>
      <c r="N157" s="49"/>
      <c r="O157" s="49"/>
      <c r="P157" s="49"/>
      <c r="Q157" s="49"/>
    </row>
    <row r="158" ht="15.75" customHeight="1">
      <c r="I158" s="49"/>
      <c r="J158" s="49"/>
      <c r="K158" s="49"/>
      <c r="L158" s="49"/>
      <c r="M158" s="49"/>
      <c r="N158" s="49"/>
      <c r="O158" s="49"/>
      <c r="P158" s="49"/>
      <c r="Q158" s="49"/>
    </row>
    <row r="159" ht="15.75" customHeight="1">
      <c r="I159" s="49"/>
      <c r="J159" s="49"/>
      <c r="K159" s="49"/>
      <c r="L159" s="49"/>
      <c r="M159" s="49"/>
      <c r="N159" s="49"/>
      <c r="O159" s="49"/>
      <c r="P159" s="49"/>
      <c r="Q159" s="49"/>
    </row>
    <row r="160" ht="15.75" customHeight="1">
      <c r="I160" s="49"/>
      <c r="J160" s="49"/>
      <c r="K160" s="49"/>
      <c r="L160" s="49"/>
      <c r="M160" s="49"/>
      <c r="N160" s="49"/>
      <c r="O160" s="49"/>
      <c r="P160" s="49"/>
      <c r="Q160" s="49"/>
    </row>
    <row r="161" ht="15.75" customHeight="1">
      <c r="I161" s="49"/>
      <c r="J161" s="49"/>
      <c r="K161" s="49"/>
      <c r="L161" s="49"/>
      <c r="M161" s="49"/>
      <c r="N161" s="49"/>
      <c r="O161" s="49"/>
      <c r="P161" s="49"/>
      <c r="Q161" s="49"/>
    </row>
    <row r="162" ht="15.75" customHeight="1">
      <c r="I162" s="49"/>
      <c r="J162" s="49"/>
      <c r="K162" s="49"/>
      <c r="L162" s="49"/>
      <c r="M162" s="49"/>
      <c r="N162" s="49"/>
      <c r="O162" s="49"/>
      <c r="P162" s="49"/>
      <c r="Q162" s="49"/>
    </row>
    <row r="163" ht="15.75" customHeight="1">
      <c r="I163" s="49"/>
      <c r="J163" s="49"/>
      <c r="K163" s="49"/>
      <c r="L163" s="49"/>
      <c r="M163" s="49"/>
      <c r="N163" s="49"/>
      <c r="O163" s="49"/>
      <c r="P163" s="49"/>
      <c r="Q163" s="49"/>
    </row>
    <row r="164" ht="15.75" customHeight="1">
      <c r="I164" s="49"/>
      <c r="J164" s="49"/>
      <c r="K164" s="49"/>
      <c r="L164" s="49"/>
      <c r="M164" s="49"/>
      <c r="N164" s="49"/>
      <c r="O164" s="49"/>
      <c r="P164" s="49"/>
      <c r="Q164" s="49"/>
    </row>
    <row r="165" ht="15.75" customHeight="1">
      <c r="I165" s="49"/>
      <c r="J165" s="49"/>
      <c r="K165" s="49"/>
      <c r="L165" s="49"/>
      <c r="M165" s="49"/>
      <c r="N165" s="49"/>
      <c r="O165" s="49"/>
      <c r="P165" s="49"/>
      <c r="Q165" s="49"/>
    </row>
    <row r="166" ht="15.75" customHeight="1">
      <c r="I166" s="49"/>
      <c r="J166" s="49"/>
      <c r="K166" s="49"/>
      <c r="L166" s="49"/>
      <c r="M166" s="49"/>
      <c r="N166" s="49"/>
      <c r="O166" s="49"/>
      <c r="P166" s="49"/>
      <c r="Q166" s="49"/>
    </row>
    <row r="167" ht="15.75" customHeight="1">
      <c r="I167" s="49"/>
      <c r="J167" s="49"/>
      <c r="K167" s="49"/>
      <c r="L167" s="49"/>
      <c r="M167" s="49"/>
      <c r="N167" s="49"/>
      <c r="O167" s="49"/>
      <c r="P167" s="49"/>
      <c r="Q167" s="49"/>
    </row>
    <row r="168" ht="15.75" customHeight="1">
      <c r="I168" s="49"/>
      <c r="J168" s="49"/>
      <c r="K168" s="49"/>
      <c r="L168" s="49"/>
      <c r="M168" s="49"/>
      <c r="N168" s="49"/>
      <c r="O168" s="49"/>
      <c r="P168" s="49"/>
      <c r="Q168" s="49"/>
    </row>
    <row r="169" ht="15.75" customHeight="1">
      <c r="I169" s="49"/>
      <c r="J169" s="49"/>
      <c r="K169" s="49"/>
      <c r="L169" s="49"/>
      <c r="M169" s="49"/>
      <c r="N169" s="49"/>
      <c r="O169" s="49"/>
      <c r="P169" s="49"/>
      <c r="Q169" s="49"/>
    </row>
    <row r="170" ht="15.75" customHeight="1">
      <c r="I170" s="49"/>
      <c r="J170" s="49"/>
      <c r="K170" s="49"/>
      <c r="L170" s="49"/>
      <c r="M170" s="49"/>
      <c r="N170" s="49"/>
      <c r="O170" s="49"/>
      <c r="P170" s="49"/>
      <c r="Q170" s="49"/>
    </row>
    <row r="171" ht="15.75" customHeight="1">
      <c r="I171" s="49"/>
      <c r="J171" s="49"/>
      <c r="K171" s="49"/>
      <c r="L171" s="49"/>
      <c r="M171" s="49"/>
      <c r="N171" s="49"/>
      <c r="O171" s="49"/>
      <c r="P171" s="49"/>
      <c r="Q171" s="49"/>
    </row>
    <row r="172" ht="15.75" customHeight="1">
      <c r="I172" s="49"/>
      <c r="J172" s="49"/>
      <c r="K172" s="49"/>
      <c r="L172" s="49"/>
      <c r="M172" s="49"/>
      <c r="N172" s="49"/>
      <c r="O172" s="49"/>
      <c r="P172" s="49"/>
      <c r="Q172" s="49"/>
    </row>
    <row r="173" ht="15.75" customHeight="1">
      <c r="I173" s="49"/>
      <c r="J173" s="49"/>
      <c r="K173" s="49"/>
      <c r="L173" s="49"/>
      <c r="M173" s="49"/>
      <c r="N173" s="49"/>
      <c r="O173" s="49"/>
      <c r="P173" s="49"/>
      <c r="Q173" s="49"/>
    </row>
    <row r="174" ht="15.75" customHeight="1">
      <c r="I174" s="49"/>
      <c r="J174" s="49"/>
      <c r="K174" s="49"/>
      <c r="L174" s="49"/>
      <c r="M174" s="49"/>
      <c r="N174" s="49"/>
      <c r="O174" s="49"/>
      <c r="P174" s="49"/>
      <c r="Q174" s="49"/>
    </row>
    <row r="175" ht="15.75" customHeight="1">
      <c r="I175" s="49"/>
      <c r="J175" s="49"/>
      <c r="K175" s="49"/>
      <c r="L175" s="49"/>
      <c r="M175" s="49"/>
      <c r="N175" s="49"/>
      <c r="O175" s="49"/>
      <c r="P175" s="49"/>
      <c r="Q175" s="49"/>
    </row>
    <row r="176" ht="15.75" customHeight="1">
      <c r="I176" s="49"/>
      <c r="J176" s="49"/>
      <c r="K176" s="49"/>
      <c r="L176" s="49"/>
      <c r="M176" s="49"/>
      <c r="N176" s="49"/>
      <c r="O176" s="49"/>
      <c r="P176" s="49"/>
      <c r="Q176" s="49"/>
    </row>
    <row r="177" ht="15.75" customHeight="1">
      <c r="I177" s="49"/>
      <c r="J177" s="49"/>
      <c r="K177" s="49"/>
      <c r="L177" s="49"/>
      <c r="M177" s="49"/>
      <c r="N177" s="49"/>
      <c r="O177" s="49"/>
      <c r="P177" s="49"/>
      <c r="Q177" s="49"/>
    </row>
    <row r="178" ht="15.75" customHeight="1">
      <c r="I178" s="49"/>
      <c r="J178" s="49"/>
      <c r="K178" s="49"/>
      <c r="L178" s="49"/>
      <c r="M178" s="49"/>
      <c r="N178" s="49"/>
      <c r="O178" s="49"/>
      <c r="P178" s="49"/>
      <c r="Q178" s="49"/>
    </row>
    <row r="179" ht="15.75" customHeight="1">
      <c r="I179" s="49"/>
      <c r="J179" s="49"/>
      <c r="K179" s="49"/>
      <c r="L179" s="49"/>
      <c r="M179" s="49"/>
      <c r="N179" s="49"/>
      <c r="O179" s="49"/>
      <c r="P179" s="49"/>
      <c r="Q179" s="49"/>
    </row>
    <row r="180" ht="15.75" customHeight="1">
      <c r="I180" s="49"/>
      <c r="J180" s="49"/>
      <c r="K180" s="49"/>
      <c r="L180" s="49"/>
      <c r="M180" s="49"/>
      <c r="N180" s="49"/>
      <c r="O180" s="49"/>
      <c r="P180" s="49"/>
      <c r="Q180" s="49"/>
    </row>
    <row r="181" ht="15.75" customHeight="1">
      <c r="I181" s="49"/>
      <c r="J181" s="49"/>
      <c r="K181" s="49"/>
      <c r="L181" s="49"/>
      <c r="M181" s="49"/>
      <c r="N181" s="49"/>
      <c r="O181" s="49"/>
      <c r="P181" s="49"/>
      <c r="Q181" s="49"/>
    </row>
    <row r="182" ht="15.75" customHeight="1">
      <c r="I182" s="49"/>
      <c r="J182" s="49"/>
      <c r="K182" s="49"/>
      <c r="L182" s="49"/>
      <c r="M182" s="49"/>
      <c r="N182" s="49"/>
      <c r="O182" s="49"/>
      <c r="P182" s="49"/>
      <c r="Q182" s="49"/>
    </row>
    <row r="183" ht="15.75" customHeight="1">
      <c r="I183" s="49"/>
      <c r="J183" s="49"/>
      <c r="K183" s="49"/>
      <c r="L183" s="49"/>
      <c r="M183" s="49"/>
      <c r="N183" s="49"/>
      <c r="O183" s="49"/>
      <c r="P183" s="49"/>
      <c r="Q183" s="49"/>
    </row>
    <row r="184" ht="15.75" customHeight="1">
      <c r="I184" s="49"/>
      <c r="J184" s="49"/>
      <c r="K184" s="49"/>
      <c r="L184" s="49"/>
      <c r="M184" s="49"/>
      <c r="N184" s="49"/>
      <c r="O184" s="49"/>
      <c r="P184" s="49"/>
      <c r="Q184" s="49"/>
    </row>
    <row r="185" ht="15.75" customHeight="1">
      <c r="I185" s="49"/>
      <c r="J185" s="49"/>
      <c r="K185" s="49"/>
      <c r="L185" s="49"/>
      <c r="M185" s="49"/>
      <c r="N185" s="49"/>
      <c r="O185" s="49"/>
      <c r="P185" s="49"/>
      <c r="Q185" s="49"/>
    </row>
    <row r="186" ht="15.75" customHeight="1">
      <c r="I186" s="49"/>
      <c r="J186" s="49"/>
      <c r="K186" s="49"/>
      <c r="L186" s="49"/>
      <c r="M186" s="49"/>
      <c r="N186" s="49"/>
      <c r="O186" s="49"/>
      <c r="P186" s="49"/>
      <c r="Q186" s="49"/>
    </row>
    <row r="187" ht="15.75" customHeight="1">
      <c r="I187" s="49"/>
      <c r="J187" s="49"/>
      <c r="K187" s="49"/>
      <c r="L187" s="49"/>
      <c r="M187" s="49"/>
      <c r="N187" s="49"/>
      <c r="O187" s="49"/>
      <c r="P187" s="49"/>
      <c r="Q187" s="49"/>
    </row>
    <row r="188" ht="15.75" customHeight="1">
      <c r="I188" s="49"/>
      <c r="J188" s="49"/>
      <c r="K188" s="49"/>
      <c r="L188" s="49"/>
      <c r="M188" s="49"/>
      <c r="N188" s="49"/>
      <c r="O188" s="49"/>
      <c r="P188" s="49"/>
      <c r="Q188" s="49"/>
    </row>
    <row r="189" ht="15.75" customHeight="1">
      <c r="I189" s="49"/>
      <c r="J189" s="49"/>
      <c r="K189" s="49"/>
      <c r="L189" s="49"/>
      <c r="M189" s="49"/>
      <c r="N189" s="49"/>
      <c r="O189" s="49"/>
      <c r="P189" s="49"/>
      <c r="Q189" s="49"/>
    </row>
    <row r="190" ht="15.75" customHeight="1">
      <c r="I190" s="49"/>
      <c r="J190" s="49"/>
      <c r="K190" s="49"/>
      <c r="L190" s="49"/>
      <c r="M190" s="49"/>
      <c r="N190" s="49"/>
      <c r="O190" s="49"/>
      <c r="P190" s="49"/>
      <c r="Q190" s="49"/>
    </row>
    <row r="191" ht="15.75" customHeight="1">
      <c r="I191" s="49"/>
      <c r="J191" s="49"/>
      <c r="K191" s="49"/>
      <c r="L191" s="49"/>
      <c r="M191" s="49"/>
      <c r="N191" s="49"/>
      <c r="O191" s="49"/>
      <c r="P191" s="49"/>
      <c r="Q191" s="49"/>
    </row>
    <row r="192" ht="15.75" customHeight="1">
      <c r="I192" s="49"/>
      <c r="J192" s="49"/>
      <c r="K192" s="49"/>
      <c r="L192" s="49"/>
      <c r="M192" s="49"/>
      <c r="N192" s="49"/>
      <c r="O192" s="49"/>
      <c r="P192" s="49"/>
      <c r="Q192" s="49"/>
    </row>
    <row r="193" ht="15.75" customHeight="1">
      <c r="I193" s="49"/>
      <c r="J193" s="49"/>
      <c r="K193" s="49"/>
      <c r="L193" s="49"/>
      <c r="M193" s="49"/>
      <c r="N193" s="49"/>
      <c r="O193" s="49"/>
      <c r="P193" s="49"/>
      <c r="Q193" s="49"/>
    </row>
    <row r="194" ht="15.75" customHeight="1">
      <c r="I194" s="49"/>
      <c r="J194" s="49"/>
      <c r="K194" s="49"/>
      <c r="L194" s="49"/>
      <c r="M194" s="49"/>
      <c r="N194" s="49"/>
      <c r="O194" s="49"/>
      <c r="P194" s="49"/>
      <c r="Q194" s="49"/>
    </row>
    <row r="195" ht="15.75" customHeight="1">
      <c r="I195" s="49"/>
      <c r="J195" s="49"/>
      <c r="K195" s="49"/>
      <c r="L195" s="49"/>
      <c r="M195" s="49"/>
      <c r="N195" s="49"/>
      <c r="O195" s="49"/>
      <c r="P195" s="49"/>
      <c r="Q195" s="49"/>
    </row>
    <row r="196" ht="15.75" customHeight="1">
      <c r="I196" s="49"/>
      <c r="J196" s="49"/>
      <c r="K196" s="49"/>
      <c r="L196" s="49"/>
      <c r="M196" s="49"/>
      <c r="N196" s="49"/>
      <c r="O196" s="49"/>
      <c r="P196" s="49"/>
      <c r="Q196" s="49"/>
    </row>
    <row r="197" ht="15.75" customHeight="1">
      <c r="I197" s="49"/>
      <c r="J197" s="49"/>
      <c r="K197" s="49"/>
      <c r="L197" s="49"/>
      <c r="M197" s="49"/>
      <c r="N197" s="49"/>
      <c r="O197" s="49"/>
      <c r="P197" s="49"/>
      <c r="Q197" s="49"/>
    </row>
    <row r="198" ht="15.75" customHeight="1">
      <c r="I198" s="49"/>
      <c r="J198" s="49"/>
      <c r="K198" s="49"/>
      <c r="L198" s="49"/>
      <c r="M198" s="49"/>
      <c r="N198" s="49"/>
      <c r="O198" s="49"/>
      <c r="P198" s="49"/>
      <c r="Q198" s="49"/>
    </row>
    <row r="199" ht="15.75" customHeight="1">
      <c r="I199" s="49"/>
      <c r="J199" s="49"/>
      <c r="K199" s="49"/>
      <c r="L199" s="49"/>
      <c r="M199" s="49"/>
      <c r="N199" s="49"/>
      <c r="O199" s="49"/>
      <c r="P199" s="49"/>
      <c r="Q199" s="49"/>
    </row>
    <row r="200" ht="15.75" customHeight="1">
      <c r="I200" s="49"/>
      <c r="J200" s="49"/>
      <c r="K200" s="49"/>
      <c r="L200" s="49"/>
      <c r="M200" s="49"/>
      <c r="N200" s="49"/>
      <c r="O200" s="49"/>
      <c r="P200" s="49"/>
      <c r="Q200" s="49"/>
    </row>
    <row r="201" ht="15.75" customHeight="1">
      <c r="I201" s="49"/>
      <c r="J201" s="49"/>
      <c r="K201" s="49"/>
      <c r="L201" s="49"/>
      <c r="M201" s="49"/>
      <c r="N201" s="49"/>
      <c r="O201" s="49"/>
      <c r="P201" s="49"/>
      <c r="Q201" s="49"/>
    </row>
    <row r="202" ht="15.75" customHeight="1">
      <c r="I202" s="49"/>
      <c r="J202" s="49"/>
      <c r="K202" s="49"/>
      <c r="L202" s="49"/>
      <c r="M202" s="49"/>
      <c r="N202" s="49"/>
      <c r="O202" s="49"/>
      <c r="P202" s="49"/>
      <c r="Q202" s="49"/>
    </row>
    <row r="203" ht="15.75" customHeight="1">
      <c r="I203" s="49"/>
      <c r="J203" s="49"/>
      <c r="K203" s="49"/>
      <c r="L203" s="49"/>
      <c r="M203" s="49"/>
      <c r="N203" s="49"/>
      <c r="O203" s="49"/>
      <c r="P203" s="49"/>
      <c r="Q203" s="49"/>
    </row>
    <row r="204" ht="15.75" customHeight="1">
      <c r="I204" s="49"/>
      <c r="J204" s="49"/>
      <c r="K204" s="49"/>
      <c r="L204" s="49"/>
      <c r="M204" s="49"/>
      <c r="N204" s="49"/>
      <c r="O204" s="49"/>
      <c r="P204" s="49"/>
      <c r="Q204" s="49"/>
    </row>
    <row r="205" ht="15.75" customHeight="1">
      <c r="I205" s="49"/>
      <c r="J205" s="49"/>
      <c r="K205" s="49"/>
      <c r="L205" s="49"/>
      <c r="M205" s="49"/>
      <c r="N205" s="49"/>
      <c r="O205" s="49"/>
      <c r="P205" s="49"/>
      <c r="Q205" s="49"/>
    </row>
    <row r="206" ht="15.75" customHeight="1">
      <c r="I206" s="49"/>
      <c r="J206" s="49"/>
      <c r="K206" s="49"/>
      <c r="L206" s="49"/>
      <c r="M206" s="49"/>
      <c r="N206" s="49"/>
      <c r="O206" s="49"/>
      <c r="P206" s="49"/>
      <c r="Q206" s="49"/>
    </row>
    <row r="207" ht="15.75" customHeight="1">
      <c r="I207" s="49"/>
      <c r="J207" s="49"/>
      <c r="K207" s="49"/>
      <c r="L207" s="49"/>
      <c r="M207" s="49"/>
      <c r="N207" s="49"/>
      <c r="O207" s="49"/>
      <c r="P207" s="49"/>
      <c r="Q207" s="49"/>
    </row>
    <row r="208" ht="15.75" customHeight="1">
      <c r="I208" s="49"/>
      <c r="J208" s="49"/>
      <c r="K208" s="49"/>
      <c r="L208" s="49"/>
      <c r="M208" s="49"/>
      <c r="N208" s="49"/>
      <c r="O208" s="49"/>
      <c r="P208" s="49"/>
      <c r="Q208" s="49"/>
    </row>
    <row r="209" ht="15.75" customHeight="1">
      <c r="I209" s="49"/>
      <c r="J209" s="49"/>
      <c r="K209" s="49"/>
      <c r="L209" s="49"/>
      <c r="M209" s="49"/>
      <c r="N209" s="49"/>
      <c r="O209" s="49"/>
      <c r="P209" s="49"/>
      <c r="Q209" s="49"/>
    </row>
    <row r="210" ht="15.75" customHeight="1">
      <c r="I210" s="49"/>
      <c r="J210" s="49"/>
      <c r="K210" s="49"/>
      <c r="L210" s="49"/>
      <c r="M210" s="49"/>
      <c r="N210" s="49"/>
      <c r="O210" s="49"/>
      <c r="P210" s="49"/>
      <c r="Q210" s="49"/>
    </row>
    <row r="211" ht="15.75" customHeight="1">
      <c r="I211" s="49"/>
      <c r="J211" s="49"/>
      <c r="K211" s="49"/>
      <c r="L211" s="49"/>
      <c r="M211" s="49"/>
      <c r="N211" s="49"/>
      <c r="O211" s="49"/>
      <c r="P211" s="49"/>
      <c r="Q211" s="49"/>
    </row>
    <row r="212" ht="15.75" customHeight="1">
      <c r="I212" s="49"/>
      <c r="J212" s="49"/>
      <c r="K212" s="49"/>
      <c r="L212" s="49"/>
      <c r="M212" s="49"/>
      <c r="N212" s="49"/>
      <c r="O212" s="49"/>
      <c r="P212" s="49"/>
      <c r="Q212" s="49"/>
    </row>
    <row r="213" ht="15.75" customHeight="1">
      <c r="I213" s="49"/>
      <c r="J213" s="49"/>
      <c r="K213" s="49"/>
      <c r="L213" s="49"/>
      <c r="M213" s="49"/>
      <c r="N213" s="49"/>
      <c r="O213" s="49"/>
      <c r="P213" s="49"/>
      <c r="Q213" s="49"/>
    </row>
    <row r="214" ht="15.75" customHeight="1">
      <c r="I214" s="49"/>
      <c r="J214" s="49"/>
      <c r="K214" s="49"/>
      <c r="L214" s="49"/>
      <c r="M214" s="49"/>
      <c r="N214" s="49"/>
      <c r="O214" s="49"/>
      <c r="P214" s="49"/>
      <c r="Q214" s="49"/>
    </row>
    <row r="215" ht="15.75" customHeight="1">
      <c r="I215" s="49"/>
      <c r="J215" s="49"/>
      <c r="K215" s="49"/>
      <c r="L215" s="49"/>
      <c r="M215" s="49"/>
      <c r="N215" s="49"/>
      <c r="O215" s="49"/>
      <c r="P215" s="49"/>
      <c r="Q215" s="49"/>
    </row>
    <row r="216" ht="15.75" customHeight="1">
      <c r="I216" s="49"/>
      <c r="J216" s="49"/>
      <c r="K216" s="49"/>
      <c r="L216" s="49"/>
      <c r="M216" s="49"/>
      <c r="N216" s="49"/>
      <c r="O216" s="49"/>
      <c r="P216" s="49"/>
      <c r="Q216" s="49"/>
    </row>
    <row r="217" ht="15.75" customHeight="1">
      <c r="I217" s="49"/>
      <c r="J217" s="49"/>
      <c r="K217" s="49"/>
      <c r="L217" s="49"/>
      <c r="M217" s="49"/>
      <c r="N217" s="49"/>
      <c r="O217" s="49"/>
      <c r="P217" s="49"/>
      <c r="Q217" s="49"/>
    </row>
    <row r="218" ht="15.75" customHeight="1">
      <c r="I218" s="49"/>
      <c r="J218" s="49"/>
      <c r="K218" s="49"/>
      <c r="L218" s="49"/>
      <c r="M218" s="49"/>
      <c r="N218" s="49"/>
      <c r="O218" s="49"/>
      <c r="P218" s="49"/>
      <c r="Q218" s="49"/>
    </row>
    <row r="219" ht="15.75" customHeight="1">
      <c r="I219" s="49"/>
      <c r="J219" s="49"/>
      <c r="K219" s="49"/>
      <c r="L219" s="49"/>
      <c r="M219" s="49"/>
      <c r="N219" s="49"/>
      <c r="O219" s="49"/>
      <c r="P219" s="49"/>
      <c r="Q219" s="49"/>
    </row>
    <row r="220" ht="15.75" customHeight="1">
      <c r="I220" s="49"/>
      <c r="J220" s="49"/>
      <c r="K220" s="49"/>
      <c r="L220" s="49"/>
      <c r="M220" s="49"/>
      <c r="N220" s="49"/>
      <c r="O220" s="49"/>
      <c r="P220" s="49"/>
      <c r="Q220" s="49"/>
    </row>
    <row r="221" ht="15.75" customHeight="1">
      <c r="I221" s="49"/>
      <c r="J221" s="49"/>
      <c r="K221" s="49"/>
      <c r="L221" s="49"/>
      <c r="M221" s="49"/>
      <c r="N221" s="49"/>
      <c r="O221" s="49"/>
      <c r="P221" s="49"/>
      <c r="Q221" s="49"/>
    </row>
    <row r="222" ht="15.75" customHeight="1">
      <c r="I222" s="49"/>
      <c r="J222" s="49"/>
      <c r="K222" s="49"/>
      <c r="L222" s="49"/>
      <c r="M222" s="49"/>
      <c r="N222" s="49"/>
      <c r="O222" s="49"/>
      <c r="P222" s="49"/>
      <c r="Q222" s="49"/>
    </row>
    <row r="223" ht="15.75" customHeight="1">
      <c r="I223" s="49"/>
      <c r="J223" s="49"/>
      <c r="K223" s="49"/>
      <c r="L223" s="49"/>
      <c r="M223" s="49"/>
      <c r="N223" s="49"/>
      <c r="O223" s="49"/>
      <c r="P223" s="49"/>
      <c r="Q223" s="49"/>
    </row>
    <row r="224" ht="15.75" customHeight="1">
      <c r="I224" s="49"/>
      <c r="J224" s="49"/>
      <c r="K224" s="49"/>
      <c r="L224" s="49"/>
      <c r="M224" s="49"/>
      <c r="N224" s="49"/>
      <c r="O224" s="49"/>
      <c r="P224" s="49"/>
      <c r="Q224" s="49"/>
    </row>
    <row r="225" ht="15.75" customHeight="1">
      <c r="I225" s="49"/>
      <c r="J225" s="49"/>
      <c r="K225" s="49"/>
      <c r="L225" s="49"/>
      <c r="M225" s="49"/>
      <c r="N225" s="49"/>
      <c r="O225" s="49"/>
      <c r="P225" s="49"/>
      <c r="Q225" s="49"/>
    </row>
    <row r="226" ht="15.75" customHeight="1">
      <c r="I226" s="49"/>
      <c r="J226" s="49"/>
      <c r="K226" s="49"/>
      <c r="L226" s="49"/>
      <c r="M226" s="49"/>
      <c r="N226" s="49"/>
      <c r="O226" s="49"/>
      <c r="P226" s="49"/>
      <c r="Q226" s="49"/>
    </row>
    <row r="227" ht="15.75" customHeight="1">
      <c r="I227" s="49"/>
      <c r="J227" s="49"/>
      <c r="K227" s="49"/>
      <c r="L227" s="49"/>
      <c r="M227" s="49"/>
      <c r="N227" s="49"/>
      <c r="O227" s="49"/>
      <c r="P227" s="49"/>
      <c r="Q227" s="49"/>
    </row>
    <row r="228" ht="15.75" customHeight="1">
      <c r="I228" s="49"/>
      <c r="J228" s="49"/>
      <c r="K228" s="49"/>
      <c r="L228" s="49"/>
      <c r="M228" s="49"/>
      <c r="N228" s="49"/>
      <c r="O228" s="49"/>
      <c r="P228" s="49"/>
      <c r="Q228" s="49"/>
    </row>
    <row r="229" ht="15.75" customHeight="1">
      <c r="I229" s="49"/>
      <c r="J229" s="49"/>
      <c r="K229" s="49"/>
      <c r="L229" s="49"/>
      <c r="M229" s="49"/>
      <c r="N229" s="49"/>
      <c r="O229" s="49"/>
      <c r="P229" s="49"/>
      <c r="Q229" s="49"/>
    </row>
    <row r="230" ht="15.75" customHeight="1">
      <c r="I230" s="49"/>
      <c r="J230" s="49"/>
      <c r="K230" s="49"/>
      <c r="L230" s="49"/>
      <c r="M230" s="49"/>
      <c r="N230" s="49"/>
      <c r="O230" s="49"/>
      <c r="P230" s="49"/>
      <c r="Q230" s="49"/>
    </row>
    <row r="231" ht="15.75" customHeight="1">
      <c r="I231" s="49"/>
      <c r="J231" s="49"/>
      <c r="K231" s="49"/>
      <c r="L231" s="49"/>
      <c r="M231" s="49"/>
      <c r="N231" s="49"/>
      <c r="O231" s="49"/>
      <c r="P231" s="49"/>
      <c r="Q231" s="49"/>
    </row>
    <row r="232" ht="15.75" customHeight="1">
      <c r="I232" s="49"/>
      <c r="J232" s="49"/>
      <c r="K232" s="49"/>
      <c r="L232" s="49"/>
      <c r="M232" s="49"/>
      <c r="N232" s="49"/>
      <c r="O232" s="49"/>
      <c r="P232" s="49"/>
      <c r="Q232" s="49"/>
    </row>
    <row r="233" ht="15.75" customHeight="1">
      <c r="I233" s="49"/>
      <c r="J233" s="49"/>
      <c r="K233" s="49"/>
      <c r="L233" s="49"/>
      <c r="M233" s="49"/>
      <c r="N233" s="49"/>
      <c r="O233" s="49"/>
      <c r="P233" s="49"/>
      <c r="Q233" s="49"/>
    </row>
    <row r="234" ht="15.75" customHeight="1">
      <c r="I234" s="49"/>
      <c r="J234" s="49"/>
      <c r="K234" s="49"/>
      <c r="L234" s="49"/>
      <c r="M234" s="49"/>
      <c r="N234" s="49"/>
      <c r="O234" s="49"/>
      <c r="P234" s="49"/>
      <c r="Q234" s="49"/>
    </row>
    <row r="235" ht="15.75" customHeight="1">
      <c r="I235" s="49"/>
      <c r="J235" s="49"/>
      <c r="K235" s="49"/>
      <c r="L235" s="49"/>
      <c r="M235" s="49"/>
      <c r="N235" s="49"/>
      <c r="O235" s="49"/>
      <c r="P235" s="49"/>
      <c r="Q235" s="49"/>
    </row>
    <row r="236" ht="15.75" customHeight="1">
      <c r="I236" s="49"/>
      <c r="J236" s="49"/>
      <c r="K236" s="49"/>
      <c r="L236" s="49"/>
      <c r="M236" s="49"/>
      <c r="N236" s="49"/>
      <c r="O236" s="49"/>
      <c r="P236" s="49"/>
      <c r="Q236" s="49"/>
    </row>
    <row r="237" ht="15.75" customHeight="1">
      <c r="I237" s="49"/>
      <c r="J237" s="49"/>
      <c r="K237" s="49"/>
      <c r="L237" s="49"/>
      <c r="M237" s="49"/>
      <c r="N237" s="49"/>
      <c r="O237" s="49"/>
      <c r="P237" s="49"/>
      <c r="Q237" s="49"/>
    </row>
    <row r="238" ht="15.75" customHeight="1">
      <c r="I238" s="49"/>
      <c r="J238" s="49"/>
      <c r="K238" s="49"/>
      <c r="L238" s="49"/>
      <c r="M238" s="49"/>
      <c r="N238" s="49"/>
      <c r="O238" s="49"/>
      <c r="P238" s="49"/>
      <c r="Q238" s="49"/>
    </row>
    <row r="239" ht="15.75" customHeight="1">
      <c r="I239" s="49"/>
      <c r="J239" s="49"/>
      <c r="K239" s="49"/>
      <c r="L239" s="49"/>
      <c r="M239" s="49"/>
      <c r="N239" s="49"/>
      <c r="O239" s="49"/>
      <c r="P239" s="49"/>
      <c r="Q239" s="49"/>
    </row>
    <row r="240" ht="15.75" customHeight="1">
      <c r="I240" s="49"/>
      <c r="J240" s="49"/>
      <c r="K240" s="49"/>
      <c r="L240" s="49"/>
      <c r="M240" s="49"/>
      <c r="N240" s="49"/>
      <c r="O240" s="49"/>
      <c r="P240" s="49"/>
      <c r="Q240" s="49"/>
    </row>
    <row r="241" ht="15.75" customHeight="1">
      <c r="I241" s="49"/>
      <c r="J241" s="49"/>
      <c r="K241" s="49"/>
      <c r="L241" s="49"/>
      <c r="M241" s="49"/>
      <c r="N241" s="49"/>
      <c r="O241" s="49"/>
      <c r="P241" s="49"/>
      <c r="Q241" s="49"/>
    </row>
    <row r="242" ht="15.75" customHeight="1">
      <c r="I242" s="49"/>
      <c r="J242" s="49"/>
      <c r="K242" s="49"/>
      <c r="L242" s="49"/>
      <c r="M242" s="49"/>
      <c r="N242" s="49"/>
      <c r="O242" s="49"/>
      <c r="P242" s="49"/>
      <c r="Q242" s="49"/>
    </row>
    <row r="243" ht="15.75" customHeight="1">
      <c r="I243" s="49"/>
      <c r="J243" s="49"/>
      <c r="K243" s="49"/>
      <c r="L243" s="49"/>
      <c r="M243" s="49"/>
      <c r="N243" s="49"/>
      <c r="O243" s="49"/>
      <c r="P243" s="49"/>
      <c r="Q243" s="49"/>
    </row>
    <row r="244" ht="15.75" customHeight="1">
      <c r="I244" s="49"/>
      <c r="J244" s="49"/>
      <c r="K244" s="49"/>
      <c r="L244" s="49"/>
      <c r="M244" s="49"/>
      <c r="N244" s="49"/>
      <c r="O244" s="49"/>
      <c r="P244" s="49"/>
      <c r="Q244" s="49"/>
    </row>
    <row r="245" ht="15.75" customHeight="1">
      <c r="I245" s="49"/>
      <c r="J245" s="49"/>
      <c r="K245" s="49"/>
      <c r="L245" s="49"/>
      <c r="M245" s="49"/>
      <c r="N245" s="49"/>
      <c r="O245" s="49"/>
      <c r="P245" s="49"/>
      <c r="Q245" s="49"/>
    </row>
    <row r="246" ht="15.75" customHeight="1">
      <c r="I246" s="49"/>
      <c r="J246" s="49"/>
      <c r="K246" s="49"/>
      <c r="L246" s="49"/>
      <c r="M246" s="49"/>
      <c r="N246" s="49"/>
      <c r="O246" s="49"/>
      <c r="P246" s="49"/>
      <c r="Q246" s="49"/>
    </row>
    <row r="247" ht="15.75" customHeight="1">
      <c r="I247" s="49"/>
      <c r="J247" s="49"/>
      <c r="K247" s="49"/>
      <c r="L247" s="49"/>
      <c r="M247" s="49"/>
      <c r="N247" s="49"/>
      <c r="O247" s="49"/>
      <c r="P247" s="49"/>
      <c r="Q247" s="49"/>
    </row>
    <row r="248" ht="15.75" customHeight="1">
      <c r="I248" s="49"/>
      <c r="J248" s="49"/>
      <c r="K248" s="49"/>
      <c r="L248" s="49"/>
      <c r="M248" s="49"/>
      <c r="N248" s="49"/>
      <c r="O248" s="49"/>
      <c r="P248" s="49"/>
      <c r="Q248" s="49"/>
    </row>
    <row r="249" ht="15.75" customHeight="1">
      <c r="I249" s="49"/>
      <c r="J249" s="49"/>
      <c r="K249" s="49"/>
      <c r="L249" s="49"/>
      <c r="M249" s="49"/>
      <c r="N249" s="49"/>
      <c r="O249" s="49"/>
      <c r="P249" s="49"/>
      <c r="Q249" s="49"/>
    </row>
    <row r="250" ht="15.75" customHeight="1">
      <c r="I250" s="49"/>
      <c r="J250" s="49"/>
      <c r="K250" s="49"/>
      <c r="L250" s="49"/>
      <c r="M250" s="49"/>
      <c r="N250" s="49"/>
      <c r="O250" s="49"/>
      <c r="P250" s="49"/>
      <c r="Q250" s="49"/>
    </row>
    <row r="251" ht="15.75" customHeight="1">
      <c r="I251" s="49"/>
      <c r="J251" s="49"/>
      <c r="K251" s="49"/>
      <c r="L251" s="49"/>
      <c r="M251" s="49"/>
      <c r="N251" s="49"/>
      <c r="O251" s="49"/>
      <c r="P251" s="49"/>
      <c r="Q251" s="49"/>
    </row>
    <row r="252" ht="15.75" customHeight="1">
      <c r="I252" s="49"/>
      <c r="J252" s="49"/>
      <c r="K252" s="49"/>
      <c r="L252" s="49"/>
      <c r="M252" s="49"/>
      <c r="N252" s="49"/>
      <c r="O252" s="49"/>
      <c r="P252" s="49"/>
      <c r="Q252" s="49"/>
    </row>
    <row r="253" ht="15.75" customHeight="1">
      <c r="I253" s="49"/>
      <c r="J253" s="49"/>
      <c r="K253" s="49"/>
      <c r="L253" s="49"/>
      <c r="M253" s="49"/>
      <c r="N253" s="49"/>
      <c r="O253" s="49"/>
      <c r="P253" s="49"/>
      <c r="Q253" s="49"/>
    </row>
    <row r="254" ht="15.75" customHeight="1">
      <c r="I254" s="49"/>
      <c r="J254" s="49"/>
      <c r="K254" s="49"/>
      <c r="L254" s="49"/>
      <c r="M254" s="49"/>
      <c r="N254" s="49"/>
      <c r="O254" s="49"/>
      <c r="P254" s="49"/>
      <c r="Q254" s="49"/>
    </row>
    <row r="255" ht="15.75" customHeight="1">
      <c r="I255" s="49"/>
      <c r="J255" s="49"/>
      <c r="K255" s="49"/>
      <c r="L255" s="49"/>
      <c r="M255" s="49"/>
      <c r="N255" s="49"/>
      <c r="O255" s="49"/>
      <c r="P255" s="49"/>
      <c r="Q255" s="49"/>
    </row>
    <row r="256" ht="15.75" customHeight="1">
      <c r="I256" s="49"/>
      <c r="J256" s="49"/>
      <c r="K256" s="49"/>
      <c r="L256" s="49"/>
      <c r="M256" s="49"/>
      <c r="N256" s="49"/>
      <c r="O256" s="49"/>
      <c r="P256" s="49"/>
      <c r="Q256" s="49"/>
    </row>
    <row r="257" ht="15.75" customHeight="1">
      <c r="I257" s="49"/>
      <c r="J257" s="49"/>
      <c r="K257" s="49"/>
      <c r="L257" s="49"/>
      <c r="M257" s="49"/>
      <c r="N257" s="49"/>
      <c r="O257" s="49"/>
      <c r="P257" s="49"/>
      <c r="Q257" s="49"/>
    </row>
    <row r="258" ht="15.75" customHeight="1">
      <c r="I258" s="49"/>
      <c r="J258" s="49"/>
      <c r="K258" s="49"/>
      <c r="L258" s="49"/>
      <c r="M258" s="49"/>
      <c r="N258" s="49"/>
      <c r="O258" s="49"/>
      <c r="P258" s="49"/>
      <c r="Q258" s="49"/>
    </row>
    <row r="259" ht="15.75" customHeight="1">
      <c r="I259" s="49"/>
      <c r="J259" s="49"/>
      <c r="K259" s="49"/>
      <c r="L259" s="49"/>
      <c r="M259" s="49"/>
      <c r="N259" s="49"/>
      <c r="O259" s="49"/>
      <c r="P259" s="49"/>
      <c r="Q259" s="49"/>
    </row>
    <row r="260" ht="15.75" customHeight="1">
      <c r="I260" s="49"/>
      <c r="J260" s="49"/>
      <c r="K260" s="49"/>
      <c r="L260" s="49"/>
      <c r="M260" s="49"/>
      <c r="N260" s="49"/>
      <c r="O260" s="49"/>
      <c r="P260" s="49"/>
      <c r="Q260" s="49"/>
    </row>
    <row r="261" ht="15.75" customHeight="1">
      <c r="I261" s="49"/>
      <c r="J261" s="49"/>
      <c r="K261" s="49"/>
      <c r="L261" s="49"/>
      <c r="M261" s="49"/>
      <c r="N261" s="49"/>
      <c r="O261" s="49"/>
      <c r="P261" s="49"/>
      <c r="Q261" s="49"/>
    </row>
    <row r="262" ht="15.75" customHeight="1">
      <c r="I262" s="49"/>
      <c r="J262" s="49"/>
      <c r="K262" s="49"/>
      <c r="L262" s="49"/>
      <c r="M262" s="49"/>
      <c r="N262" s="49"/>
      <c r="O262" s="49"/>
      <c r="P262" s="49"/>
      <c r="Q262" s="49"/>
    </row>
    <row r="263" ht="15.75" customHeight="1">
      <c r="I263" s="49"/>
      <c r="J263" s="49"/>
      <c r="K263" s="49"/>
      <c r="L263" s="49"/>
      <c r="M263" s="49"/>
      <c r="N263" s="49"/>
      <c r="O263" s="49"/>
      <c r="P263" s="49"/>
      <c r="Q263" s="49"/>
    </row>
    <row r="264" ht="15.75" customHeight="1">
      <c r="I264" s="49"/>
      <c r="J264" s="49"/>
      <c r="K264" s="49"/>
      <c r="L264" s="49"/>
      <c r="M264" s="49"/>
      <c r="N264" s="49"/>
      <c r="O264" s="49"/>
      <c r="P264" s="49"/>
      <c r="Q264" s="49"/>
    </row>
    <row r="265" ht="15.75" customHeight="1">
      <c r="I265" s="49"/>
      <c r="J265" s="49"/>
      <c r="K265" s="49"/>
      <c r="L265" s="49"/>
      <c r="M265" s="49"/>
      <c r="N265" s="49"/>
      <c r="O265" s="49"/>
      <c r="P265" s="49"/>
      <c r="Q265" s="49"/>
    </row>
    <row r="266" ht="15.75" customHeight="1">
      <c r="I266" s="49"/>
      <c r="J266" s="49"/>
      <c r="K266" s="49"/>
      <c r="L266" s="49"/>
      <c r="M266" s="49"/>
      <c r="N266" s="49"/>
      <c r="O266" s="49"/>
      <c r="P266" s="49"/>
      <c r="Q266" s="49"/>
    </row>
    <row r="267" ht="15.75" customHeight="1">
      <c r="I267" s="49"/>
      <c r="J267" s="49"/>
      <c r="K267" s="49"/>
      <c r="L267" s="49"/>
      <c r="M267" s="49"/>
      <c r="N267" s="49"/>
      <c r="O267" s="49"/>
      <c r="P267" s="49"/>
      <c r="Q267" s="49"/>
    </row>
    <row r="268" ht="15.75" customHeight="1">
      <c r="I268" s="49"/>
      <c r="J268" s="49"/>
      <c r="K268" s="49"/>
      <c r="L268" s="49"/>
      <c r="M268" s="49"/>
      <c r="N268" s="49"/>
      <c r="O268" s="49"/>
      <c r="P268" s="49"/>
      <c r="Q268" s="49"/>
    </row>
    <row r="269" ht="15.75" customHeight="1">
      <c r="I269" s="49"/>
      <c r="J269" s="49"/>
      <c r="K269" s="49"/>
      <c r="L269" s="49"/>
      <c r="M269" s="49"/>
      <c r="N269" s="49"/>
      <c r="O269" s="49"/>
      <c r="P269" s="49"/>
      <c r="Q269" s="49"/>
    </row>
    <row r="270" ht="15.75" customHeight="1">
      <c r="I270" s="49"/>
      <c r="J270" s="49"/>
      <c r="K270" s="49"/>
      <c r="L270" s="49"/>
      <c r="M270" s="49"/>
      <c r="N270" s="49"/>
      <c r="O270" s="49"/>
      <c r="P270" s="49"/>
      <c r="Q270" s="49"/>
    </row>
    <row r="271" ht="15.75" customHeight="1">
      <c r="I271" s="49"/>
      <c r="J271" s="49"/>
      <c r="K271" s="49"/>
      <c r="L271" s="49"/>
      <c r="M271" s="49"/>
      <c r="N271" s="49"/>
      <c r="O271" s="49"/>
      <c r="P271" s="49"/>
      <c r="Q271" s="49"/>
    </row>
    <row r="272" ht="15.75" customHeight="1">
      <c r="I272" s="49"/>
      <c r="J272" s="49"/>
      <c r="K272" s="49"/>
      <c r="L272" s="49"/>
      <c r="M272" s="49"/>
      <c r="N272" s="49"/>
      <c r="O272" s="49"/>
      <c r="P272" s="49"/>
      <c r="Q272" s="49"/>
    </row>
    <row r="273" ht="15.75" customHeight="1">
      <c r="I273" s="49"/>
      <c r="J273" s="49"/>
      <c r="K273" s="49"/>
      <c r="L273" s="49"/>
      <c r="M273" s="49"/>
      <c r="N273" s="49"/>
      <c r="O273" s="49"/>
      <c r="P273" s="49"/>
      <c r="Q273" s="49"/>
    </row>
    <row r="274" ht="15.75" customHeight="1">
      <c r="I274" s="49"/>
      <c r="J274" s="49"/>
      <c r="K274" s="49"/>
      <c r="L274" s="49"/>
      <c r="M274" s="49"/>
      <c r="N274" s="49"/>
      <c r="O274" s="49"/>
      <c r="P274" s="49"/>
      <c r="Q274" s="49"/>
    </row>
    <row r="275" ht="15.75" customHeight="1">
      <c r="I275" s="49"/>
      <c r="J275" s="49"/>
      <c r="K275" s="49"/>
      <c r="L275" s="49"/>
      <c r="M275" s="49"/>
      <c r="N275" s="49"/>
      <c r="O275" s="49"/>
      <c r="P275" s="49"/>
      <c r="Q275" s="49"/>
    </row>
    <row r="276" ht="15.75" customHeight="1">
      <c r="I276" s="49"/>
      <c r="J276" s="49"/>
      <c r="K276" s="49"/>
      <c r="L276" s="49"/>
      <c r="M276" s="49"/>
      <c r="N276" s="49"/>
      <c r="O276" s="49"/>
      <c r="P276" s="49"/>
      <c r="Q276" s="49"/>
    </row>
    <row r="277" ht="15.75" customHeight="1">
      <c r="I277" s="49"/>
      <c r="J277" s="49"/>
      <c r="K277" s="49"/>
      <c r="L277" s="49"/>
      <c r="M277" s="49"/>
      <c r="N277" s="49"/>
      <c r="O277" s="49"/>
      <c r="P277" s="49"/>
      <c r="Q277" s="49"/>
    </row>
    <row r="278" ht="15.75" customHeight="1">
      <c r="I278" s="49"/>
      <c r="J278" s="49"/>
      <c r="K278" s="49"/>
      <c r="L278" s="49"/>
      <c r="M278" s="49"/>
      <c r="N278" s="49"/>
      <c r="O278" s="49"/>
      <c r="P278" s="49"/>
      <c r="Q278" s="49"/>
    </row>
    <row r="279" ht="15.75" customHeight="1">
      <c r="I279" s="49"/>
      <c r="J279" s="49"/>
      <c r="K279" s="49"/>
      <c r="L279" s="49"/>
      <c r="M279" s="49"/>
      <c r="N279" s="49"/>
      <c r="O279" s="49"/>
      <c r="P279" s="49"/>
      <c r="Q279" s="49"/>
    </row>
    <row r="280" ht="15.75" customHeight="1">
      <c r="I280" s="49"/>
      <c r="J280" s="49"/>
      <c r="K280" s="49"/>
      <c r="L280" s="49"/>
      <c r="M280" s="49"/>
      <c r="N280" s="49"/>
      <c r="O280" s="49"/>
      <c r="P280" s="49"/>
      <c r="Q280" s="49"/>
    </row>
    <row r="281" ht="15.75" customHeight="1">
      <c r="I281" s="49"/>
      <c r="J281" s="49"/>
      <c r="K281" s="49"/>
      <c r="L281" s="49"/>
      <c r="M281" s="49"/>
      <c r="N281" s="49"/>
      <c r="O281" s="49"/>
      <c r="P281" s="49"/>
      <c r="Q281" s="49"/>
    </row>
    <row r="282" ht="15.75" customHeight="1">
      <c r="I282" s="49"/>
      <c r="J282" s="49"/>
      <c r="K282" s="49"/>
      <c r="L282" s="49"/>
      <c r="M282" s="49"/>
      <c r="N282" s="49"/>
      <c r="O282" s="49"/>
      <c r="P282" s="49"/>
      <c r="Q282" s="49"/>
    </row>
    <row r="283" ht="15.75" customHeight="1">
      <c r="I283" s="49"/>
      <c r="J283" s="49"/>
      <c r="K283" s="49"/>
      <c r="L283" s="49"/>
      <c r="M283" s="49"/>
      <c r="N283" s="49"/>
      <c r="O283" s="49"/>
      <c r="P283" s="49"/>
      <c r="Q283" s="49"/>
    </row>
    <row r="284" ht="15.75" customHeight="1">
      <c r="I284" s="49"/>
      <c r="J284" s="49"/>
      <c r="K284" s="49"/>
      <c r="L284" s="49"/>
      <c r="M284" s="49"/>
      <c r="N284" s="49"/>
      <c r="O284" s="49"/>
      <c r="P284" s="49"/>
      <c r="Q284" s="49"/>
    </row>
    <row r="285" ht="15.75" customHeight="1">
      <c r="I285" s="49"/>
      <c r="J285" s="49"/>
      <c r="K285" s="49"/>
      <c r="L285" s="49"/>
      <c r="M285" s="49"/>
      <c r="N285" s="49"/>
      <c r="O285" s="49"/>
      <c r="P285" s="49"/>
      <c r="Q285" s="49"/>
    </row>
    <row r="286" ht="15.75" customHeight="1">
      <c r="I286" s="49"/>
      <c r="J286" s="49"/>
      <c r="K286" s="49"/>
      <c r="L286" s="49"/>
      <c r="M286" s="49"/>
      <c r="N286" s="49"/>
      <c r="O286" s="49"/>
      <c r="P286" s="49"/>
      <c r="Q286" s="49"/>
    </row>
    <row r="287" ht="15.75" customHeight="1">
      <c r="I287" s="49"/>
      <c r="J287" s="49"/>
      <c r="K287" s="49"/>
      <c r="L287" s="49"/>
      <c r="M287" s="49"/>
      <c r="N287" s="49"/>
      <c r="O287" s="49"/>
      <c r="P287" s="49"/>
      <c r="Q287" s="49"/>
    </row>
    <row r="288" ht="15.75" customHeight="1">
      <c r="I288" s="49"/>
      <c r="J288" s="49"/>
      <c r="K288" s="49"/>
      <c r="L288" s="49"/>
      <c r="M288" s="49"/>
      <c r="N288" s="49"/>
      <c r="O288" s="49"/>
      <c r="P288" s="49"/>
      <c r="Q288" s="49"/>
    </row>
    <row r="289" ht="15.75" customHeight="1">
      <c r="I289" s="49"/>
      <c r="J289" s="49"/>
      <c r="K289" s="49"/>
      <c r="L289" s="49"/>
      <c r="M289" s="49"/>
      <c r="N289" s="49"/>
      <c r="O289" s="49"/>
      <c r="P289" s="49"/>
      <c r="Q289" s="49"/>
    </row>
    <row r="290" ht="15.75" customHeight="1">
      <c r="I290" s="49"/>
      <c r="J290" s="49"/>
      <c r="K290" s="49"/>
      <c r="L290" s="49"/>
      <c r="M290" s="49"/>
      <c r="N290" s="49"/>
      <c r="O290" s="49"/>
      <c r="P290" s="49"/>
      <c r="Q290" s="49"/>
    </row>
    <row r="291" ht="15.75" customHeight="1">
      <c r="I291" s="49"/>
      <c r="J291" s="49"/>
      <c r="K291" s="49"/>
      <c r="L291" s="49"/>
      <c r="M291" s="49"/>
      <c r="N291" s="49"/>
      <c r="O291" s="49"/>
      <c r="P291" s="49"/>
      <c r="Q291" s="49"/>
    </row>
    <row r="292" ht="15.75" customHeight="1">
      <c r="I292" s="49"/>
      <c r="J292" s="49"/>
      <c r="K292" s="49"/>
      <c r="L292" s="49"/>
      <c r="M292" s="49"/>
      <c r="N292" s="49"/>
      <c r="O292" s="49"/>
      <c r="P292" s="49"/>
      <c r="Q292" s="49"/>
    </row>
    <row r="293" ht="15.75" customHeight="1">
      <c r="I293" s="49"/>
      <c r="J293" s="49"/>
      <c r="K293" s="49"/>
      <c r="L293" s="49"/>
      <c r="M293" s="49"/>
      <c r="N293" s="49"/>
      <c r="O293" s="49"/>
      <c r="P293" s="49"/>
      <c r="Q293" s="49"/>
    </row>
    <row r="294" ht="15.75" customHeight="1">
      <c r="I294" s="49"/>
      <c r="J294" s="49"/>
      <c r="K294" s="49"/>
      <c r="L294" s="49"/>
      <c r="M294" s="49"/>
      <c r="N294" s="49"/>
      <c r="O294" s="49"/>
      <c r="P294" s="49"/>
      <c r="Q294" s="49"/>
    </row>
    <row r="295" ht="15.75" customHeight="1">
      <c r="I295" s="49"/>
      <c r="J295" s="49"/>
      <c r="K295" s="49"/>
      <c r="L295" s="49"/>
      <c r="M295" s="49"/>
      <c r="N295" s="49"/>
      <c r="O295" s="49"/>
      <c r="P295" s="49"/>
      <c r="Q295" s="49"/>
    </row>
    <row r="296" ht="15.75" customHeight="1">
      <c r="I296" s="49"/>
      <c r="J296" s="49"/>
      <c r="K296" s="49"/>
      <c r="L296" s="49"/>
      <c r="M296" s="49"/>
      <c r="N296" s="49"/>
      <c r="O296" s="49"/>
      <c r="P296" s="49"/>
      <c r="Q296" s="49"/>
    </row>
    <row r="297" ht="15.75" customHeight="1">
      <c r="I297" s="49"/>
      <c r="J297" s="49"/>
      <c r="K297" s="49"/>
      <c r="L297" s="49"/>
      <c r="M297" s="49"/>
      <c r="N297" s="49"/>
      <c r="O297" s="49"/>
      <c r="P297" s="49"/>
      <c r="Q297" s="49"/>
    </row>
    <row r="298" ht="15.75" customHeight="1">
      <c r="I298" s="49"/>
      <c r="J298" s="49"/>
      <c r="K298" s="49"/>
      <c r="L298" s="49"/>
      <c r="M298" s="49"/>
      <c r="N298" s="49"/>
      <c r="O298" s="49"/>
      <c r="P298" s="49"/>
      <c r="Q298" s="49"/>
    </row>
    <row r="299" ht="15.75" customHeight="1">
      <c r="I299" s="49"/>
      <c r="J299" s="49"/>
      <c r="K299" s="49"/>
      <c r="L299" s="49"/>
      <c r="M299" s="49"/>
      <c r="N299" s="49"/>
      <c r="O299" s="49"/>
      <c r="P299" s="49"/>
      <c r="Q299" s="49"/>
    </row>
    <row r="300" ht="15.75" customHeight="1">
      <c r="I300" s="49"/>
      <c r="J300" s="49"/>
      <c r="K300" s="49"/>
      <c r="L300" s="49"/>
      <c r="M300" s="49"/>
      <c r="N300" s="49"/>
      <c r="O300" s="49"/>
      <c r="P300" s="49"/>
      <c r="Q300" s="49"/>
    </row>
    <row r="301" ht="15.75" customHeight="1">
      <c r="I301" s="49"/>
      <c r="J301" s="49"/>
      <c r="K301" s="49"/>
      <c r="L301" s="49"/>
      <c r="M301" s="49"/>
      <c r="N301" s="49"/>
      <c r="O301" s="49"/>
      <c r="P301" s="49"/>
      <c r="Q301" s="49"/>
    </row>
    <row r="302" ht="15.75" customHeight="1">
      <c r="I302" s="49"/>
      <c r="J302" s="49"/>
      <c r="K302" s="49"/>
      <c r="L302" s="49"/>
      <c r="M302" s="49"/>
      <c r="N302" s="49"/>
      <c r="O302" s="49"/>
      <c r="P302" s="49"/>
      <c r="Q302" s="49"/>
    </row>
    <row r="303" ht="15.75" customHeight="1">
      <c r="I303" s="49"/>
      <c r="J303" s="49"/>
      <c r="K303" s="49"/>
      <c r="L303" s="49"/>
      <c r="M303" s="49"/>
      <c r="N303" s="49"/>
      <c r="O303" s="49"/>
      <c r="P303" s="49"/>
      <c r="Q303" s="49"/>
    </row>
    <row r="304" ht="15.75" customHeight="1">
      <c r="I304" s="49"/>
      <c r="J304" s="49"/>
      <c r="K304" s="49"/>
      <c r="L304" s="49"/>
      <c r="M304" s="49"/>
      <c r="N304" s="49"/>
      <c r="O304" s="49"/>
      <c r="P304" s="49"/>
      <c r="Q304" s="49"/>
    </row>
    <row r="305" ht="15.75" customHeight="1">
      <c r="I305" s="49"/>
      <c r="J305" s="49"/>
      <c r="K305" s="49"/>
      <c r="L305" s="49"/>
      <c r="M305" s="49"/>
      <c r="N305" s="49"/>
      <c r="O305" s="49"/>
      <c r="P305" s="49"/>
      <c r="Q305" s="49"/>
    </row>
    <row r="306" ht="15.75" customHeight="1">
      <c r="I306" s="49"/>
      <c r="J306" s="49"/>
      <c r="K306" s="49"/>
      <c r="L306" s="49"/>
      <c r="M306" s="49"/>
      <c r="N306" s="49"/>
      <c r="O306" s="49"/>
      <c r="P306" s="49"/>
      <c r="Q306" s="49"/>
    </row>
    <row r="307" ht="15.75" customHeight="1">
      <c r="I307" s="49"/>
      <c r="J307" s="49"/>
      <c r="K307" s="49"/>
      <c r="L307" s="49"/>
      <c r="M307" s="49"/>
      <c r="N307" s="49"/>
      <c r="O307" s="49"/>
      <c r="P307" s="49"/>
      <c r="Q307" s="49"/>
    </row>
    <row r="308" ht="15.75" customHeight="1">
      <c r="I308" s="49"/>
      <c r="J308" s="49"/>
      <c r="K308" s="49"/>
      <c r="L308" s="49"/>
      <c r="M308" s="49"/>
      <c r="N308" s="49"/>
      <c r="O308" s="49"/>
      <c r="P308" s="49"/>
      <c r="Q308" s="49"/>
    </row>
    <row r="309" ht="15.75" customHeight="1">
      <c r="I309" s="49"/>
      <c r="J309" s="49"/>
      <c r="K309" s="49"/>
      <c r="L309" s="49"/>
      <c r="M309" s="49"/>
      <c r="N309" s="49"/>
      <c r="O309" s="49"/>
      <c r="P309" s="49"/>
      <c r="Q309" s="49"/>
    </row>
    <row r="310" ht="15.75" customHeight="1">
      <c r="I310" s="49"/>
      <c r="J310" s="49"/>
      <c r="K310" s="49"/>
      <c r="L310" s="49"/>
      <c r="M310" s="49"/>
      <c r="N310" s="49"/>
      <c r="O310" s="49"/>
      <c r="P310" s="49"/>
      <c r="Q310" s="49"/>
    </row>
    <row r="311" ht="15.75" customHeight="1">
      <c r="I311" s="49"/>
      <c r="J311" s="49"/>
      <c r="K311" s="49"/>
      <c r="L311" s="49"/>
      <c r="M311" s="49"/>
      <c r="N311" s="49"/>
      <c r="O311" s="49"/>
      <c r="P311" s="49"/>
      <c r="Q311" s="49"/>
    </row>
    <row r="312" ht="15.75" customHeight="1">
      <c r="I312" s="49"/>
      <c r="J312" s="49"/>
      <c r="K312" s="49"/>
      <c r="L312" s="49"/>
      <c r="M312" s="49"/>
      <c r="N312" s="49"/>
      <c r="O312" s="49"/>
      <c r="P312" s="49"/>
      <c r="Q312" s="49"/>
    </row>
    <row r="313" ht="15.75" customHeight="1">
      <c r="I313" s="49"/>
      <c r="J313" s="49"/>
      <c r="K313" s="49"/>
      <c r="L313" s="49"/>
      <c r="M313" s="49"/>
      <c r="N313" s="49"/>
      <c r="O313" s="49"/>
      <c r="P313" s="49"/>
      <c r="Q313" s="49"/>
    </row>
    <row r="314" ht="15.75" customHeight="1">
      <c r="I314" s="49"/>
      <c r="J314" s="49"/>
      <c r="K314" s="49"/>
      <c r="L314" s="49"/>
      <c r="M314" s="49"/>
      <c r="N314" s="49"/>
      <c r="O314" s="49"/>
      <c r="P314" s="49"/>
      <c r="Q314" s="49"/>
    </row>
    <row r="315" ht="15.75" customHeight="1">
      <c r="I315" s="49"/>
      <c r="J315" s="49"/>
      <c r="K315" s="49"/>
      <c r="L315" s="49"/>
      <c r="M315" s="49"/>
      <c r="N315" s="49"/>
      <c r="O315" s="49"/>
      <c r="P315" s="49"/>
      <c r="Q315" s="49"/>
    </row>
    <row r="316" ht="15.75" customHeight="1">
      <c r="I316" s="49"/>
      <c r="J316" s="49"/>
      <c r="K316" s="49"/>
      <c r="L316" s="49"/>
      <c r="M316" s="49"/>
      <c r="N316" s="49"/>
      <c r="O316" s="49"/>
      <c r="P316" s="49"/>
      <c r="Q316" s="49"/>
    </row>
    <row r="317" ht="15.75" customHeight="1">
      <c r="I317" s="49"/>
      <c r="J317" s="49"/>
      <c r="K317" s="49"/>
      <c r="L317" s="49"/>
      <c r="M317" s="49"/>
      <c r="N317" s="49"/>
      <c r="O317" s="49"/>
      <c r="P317" s="49"/>
      <c r="Q317" s="49"/>
    </row>
    <row r="318" ht="15.75" customHeight="1">
      <c r="I318" s="49"/>
      <c r="J318" s="49"/>
      <c r="K318" s="49"/>
      <c r="L318" s="49"/>
      <c r="M318" s="49"/>
      <c r="N318" s="49"/>
      <c r="O318" s="49"/>
      <c r="P318" s="49"/>
      <c r="Q318" s="49"/>
    </row>
    <row r="319" ht="15.75" customHeight="1">
      <c r="I319" s="49"/>
      <c r="J319" s="49"/>
      <c r="K319" s="49"/>
      <c r="L319" s="49"/>
      <c r="M319" s="49"/>
      <c r="N319" s="49"/>
      <c r="O319" s="49"/>
      <c r="P319" s="49"/>
      <c r="Q319" s="49"/>
    </row>
    <row r="320" ht="15.75" customHeight="1">
      <c r="I320" s="49"/>
      <c r="J320" s="49"/>
      <c r="K320" s="49"/>
      <c r="L320" s="49"/>
      <c r="M320" s="49"/>
      <c r="N320" s="49"/>
      <c r="O320" s="49"/>
      <c r="P320" s="49"/>
      <c r="Q320" s="49"/>
    </row>
    <row r="321" ht="15.75" customHeight="1">
      <c r="I321" s="49"/>
      <c r="J321" s="49"/>
      <c r="K321" s="49"/>
      <c r="L321" s="49"/>
      <c r="M321" s="49"/>
      <c r="N321" s="49"/>
      <c r="O321" s="49"/>
      <c r="P321" s="49"/>
      <c r="Q321" s="49"/>
    </row>
    <row r="322" ht="15.75" customHeight="1">
      <c r="I322" s="49"/>
      <c r="J322" s="49"/>
      <c r="K322" s="49"/>
      <c r="L322" s="49"/>
      <c r="M322" s="49"/>
      <c r="N322" s="49"/>
      <c r="O322" s="49"/>
      <c r="P322" s="49"/>
      <c r="Q322" s="49"/>
    </row>
    <row r="323" ht="15.75" customHeight="1">
      <c r="I323" s="49"/>
      <c r="J323" s="49"/>
      <c r="K323" s="49"/>
      <c r="L323" s="49"/>
      <c r="M323" s="49"/>
      <c r="N323" s="49"/>
      <c r="O323" s="49"/>
      <c r="P323" s="49"/>
      <c r="Q323" s="49"/>
    </row>
    <row r="324" ht="15.75" customHeight="1">
      <c r="I324" s="49"/>
      <c r="J324" s="49"/>
      <c r="K324" s="49"/>
      <c r="L324" s="49"/>
      <c r="M324" s="49"/>
      <c r="N324" s="49"/>
      <c r="O324" s="49"/>
      <c r="P324" s="49"/>
      <c r="Q324" s="49"/>
    </row>
    <row r="325" ht="15.75" customHeight="1">
      <c r="I325" s="49"/>
      <c r="J325" s="49"/>
      <c r="K325" s="49"/>
      <c r="L325" s="49"/>
      <c r="M325" s="49"/>
      <c r="N325" s="49"/>
      <c r="O325" s="49"/>
      <c r="P325" s="49"/>
      <c r="Q325" s="49"/>
    </row>
    <row r="326" ht="15.75" customHeight="1">
      <c r="I326" s="49"/>
      <c r="J326" s="49"/>
      <c r="K326" s="49"/>
      <c r="L326" s="49"/>
      <c r="M326" s="49"/>
      <c r="N326" s="49"/>
      <c r="O326" s="49"/>
      <c r="P326" s="49"/>
      <c r="Q326" s="49"/>
    </row>
    <row r="327" ht="15.75" customHeight="1">
      <c r="I327" s="49"/>
      <c r="J327" s="49"/>
      <c r="K327" s="49"/>
      <c r="L327" s="49"/>
      <c r="M327" s="49"/>
      <c r="N327" s="49"/>
      <c r="O327" s="49"/>
      <c r="P327" s="49"/>
      <c r="Q327" s="49"/>
    </row>
    <row r="328" ht="15.75" customHeight="1">
      <c r="I328" s="49"/>
      <c r="J328" s="49"/>
      <c r="K328" s="49"/>
      <c r="L328" s="49"/>
      <c r="M328" s="49"/>
      <c r="N328" s="49"/>
      <c r="O328" s="49"/>
      <c r="P328" s="49"/>
      <c r="Q328" s="49"/>
    </row>
    <row r="329" ht="15.75" customHeight="1">
      <c r="I329" s="49"/>
      <c r="J329" s="49"/>
      <c r="K329" s="49"/>
      <c r="L329" s="49"/>
      <c r="M329" s="49"/>
      <c r="N329" s="49"/>
      <c r="O329" s="49"/>
      <c r="P329" s="49"/>
      <c r="Q329" s="49"/>
    </row>
    <row r="330" ht="15.75" customHeight="1">
      <c r="I330" s="49"/>
      <c r="J330" s="49"/>
      <c r="K330" s="49"/>
      <c r="L330" s="49"/>
      <c r="M330" s="49"/>
      <c r="N330" s="49"/>
      <c r="O330" s="49"/>
      <c r="P330" s="49"/>
      <c r="Q330" s="49"/>
    </row>
    <row r="331" ht="15.75" customHeight="1">
      <c r="I331" s="49"/>
      <c r="J331" s="49"/>
      <c r="K331" s="49"/>
      <c r="L331" s="49"/>
      <c r="M331" s="49"/>
      <c r="N331" s="49"/>
      <c r="O331" s="49"/>
      <c r="P331" s="49"/>
      <c r="Q331" s="49"/>
    </row>
    <row r="332" ht="15.75" customHeight="1">
      <c r="I332" s="49"/>
      <c r="J332" s="49"/>
      <c r="K332" s="49"/>
      <c r="L332" s="49"/>
      <c r="M332" s="49"/>
      <c r="N332" s="49"/>
      <c r="O332" s="49"/>
      <c r="P332" s="49"/>
      <c r="Q332" s="49"/>
    </row>
    <row r="333" ht="15.75" customHeight="1">
      <c r="I333" s="49"/>
      <c r="J333" s="49"/>
      <c r="K333" s="49"/>
      <c r="L333" s="49"/>
      <c r="M333" s="49"/>
      <c r="N333" s="49"/>
      <c r="O333" s="49"/>
      <c r="P333" s="49"/>
      <c r="Q333" s="49"/>
    </row>
    <row r="334" ht="15.75" customHeight="1">
      <c r="I334" s="49"/>
      <c r="J334" s="49"/>
      <c r="K334" s="49"/>
      <c r="L334" s="49"/>
      <c r="M334" s="49"/>
      <c r="N334" s="49"/>
      <c r="O334" s="49"/>
      <c r="P334" s="49"/>
      <c r="Q334" s="49"/>
    </row>
    <row r="335" ht="15.75" customHeight="1">
      <c r="I335" s="49"/>
      <c r="J335" s="49"/>
      <c r="K335" s="49"/>
      <c r="L335" s="49"/>
      <c r="M335" s="49"/>
      <c r="N335" s="49"/>
      <c r="O335" s="49"/>
      <c r="P335" s="49"/>
      <c r="Q335" s="49"/>
    </row>
    <row r="336" ht="15.75" customHeight="1">
      <c r="I336" s="49"/>
      <c r="J336" s="49"/>
      <c r="K336" s="49"/>
      <c r="L336" s="49"/>
      <c r="M336" s="49"/>
      <c r="N336" s="49"/>
      <c r="O336" s="49"/>
      <c r="P336" s="49"/>
      <c r="Q336" s="49"/>
    </row>
    <row r="337" ht="15.75" customHeight="1">
      <c r="I337" s="49"/>
      <c r="J337" s="49"/>
      <c r="K337" s="49"/>
      <c r="L337" s="49"/>
      <c r="M337" s="49"/>
      <c r="N337" s="49"/>
      <c r="O337" s="49"/>
      <c r="P337" s="49"/>
      <c r="Q337" s="49"/>
    </row>
    <row r="338" ht="15.75" customHeight="1">
      <c r="I338" s="49"/>
      <c r="J338" s="49"/>
      <c r="K338" s="49"/>
      <c r="L338" s="49"/>
      <c r="M338" s="49"/>
      <c r="N338" s="49"/>
      <c r="O338" s="49"/>
      <c r="P338" s="49"/>
      <c r="Q338" s="49"/>
    </row>
    <row r="339" ht="15.75" customHeight="1">
      <c r="I339" s="49"/>
      <c r="J339" s="49"/>
      <c r="K339" s="49"/>
      <c r="L339" s="49"/>
      <c r="M339" s="49"/>
      <c r="N339" s="49"/>
      <c r="O339" s="49"/>
      <c r="P339" s="49"/>
      <c r="Q339" s="49"/>
    </row>
    <row r="340" ht="15.75" customHeight="1">
      <c r="I340" s="49"/>
      <c r="J340" s="49"/>
      <c r="K340" s="49"/>
      <c r="L340" s="49"/>
      <c r="M340" s="49"/>
      <c r="N340" s="49"/>
      <c r="O340" s="49"/>
      <c r="P340" s="49"/>
      <c r="Q340" s="49"/>
    </row>
    <row r="341" ht="15.75" customHeight="1">
      <c r="I341" s="49"/>
      <c r="J341" s="49"/>
      <c r="K341" s="49"/>
      <c r="L341" s="49"/>
      <c r="M341" s="49"/>
      <c r="N341" s="49"/>
      <c r="O341" s="49"/>
      <c r="P341" s="49"/>
      <c r="Q341" s="49"/>
    </row>
    <row r="342" ht="15.75" customHeight="1">
      <c r="I342" s="49"/>
      <c r="J342" s="49"/>
      <c r="K342" s="49"/>
      <c r="L342" s="49"/>
      <c r="M342" s="49"/>
      <c r="N342" s="49"/>
      <c r="O342" s="49"/>
      <c r="P342" s="49"/>
      <c r="Q342" s="49"/>
    </row>
    <row r="343" ht="15.75" customHeight="1">
      <c r="I343" s="49"/>
      <c r="J343" s="49"/>
      <c r="K343" s="49"/>
      <c r="L343" s="49"/>
      <c r="M343" s="49"/>
      <c r="N343" s="49"/>
      <c r="O343" s="49"/>
      <c r="P343" s="49"/>
      <c r="Q343" s="49"/>
    </row>
    <row r="344" ht="15.75" customHeight="1">
      <c r="I344" s="49"/>
      <c r="J344" s="49"/>
      <c r="K344" s="49"/>
      <c r="L344" s="49"/>
      <c r="M344" s="49"/>
      <c r="N344" s="49"/>
      <c r="O344" s="49"/>
      <c r="P344" s="49"/>
      <c r="Q344" s="49"/>
    </row>
    <row r="345" ht="15.75" customHeight="1">
      <c r="I345" s="49"/>
      <c r="J345" s="49"/>
      <c r="K345" s="49"/>
      <c r="L345" s="49"/>
      <c r="M345" s="49"/>
      <c r="N345" s="49"/>
      <c r="O345" s="49"/>
      <c r="P345" s="49"/>
      <c r="Q345" s="49"/>
    </row>
    <row r="346" ht="15.75" customHeight="1">
      <c r="I346" s="49"/>
      <c r="J346" s="49"/>
      <c r="K346" s="49"/>
      <c r="L346" s="49"/>
      <c r="M346" s="49"/>
      <c r="N346" s="49"/>
      <c r="O346" s="49"/>
      <c r="P346" s="49"/>
      <c r="Q346" s="49"/>
    </row>
    <row r="347" ht="15.75" customHeight="1">
      <c r="I347" s="49"/>
      <c r="J347" s="49"/>
      <c r="K347" s="49"/>
      <c r="L347" s="49"/>
      <c r="M347" s="49"/>
      <c r="N347" s="49"/>
      <c r="O347" s="49"/>
      <c r="P347" s="49"/>
      <c r="Q347" s="49"/>
    </row>
    <row r="348" ht="15.75" customHeight="1">
      <c r="I348" s="49"/>
      <c r="J348" s="49"/>
      <c r="K348" s="49"/>
      <c r="L348" s="49"/>
      <c r="M348" s="49"/>
      <c r="N348" s="49"/>
      <c r="O348" s="49"/>
      <c r="P348" s="49"/>
      <c r="Q348" s="49"/>
    </row>
    <row r="349" ht="15.75" customHeight="1">
      <c r="I349" s="49"/>
      <c r="J349" s="49"/>
      <c r="K349" s="49"/>
      <c r="L349" s="49"/>
      <c r="M349" s="49"/>
      <c r="N349" s="49"/>
      <c r="O349" s="49"/>
      <c r="P349" s="49"/>
      <c r="Q349" s="49"/>
    </row>
    <row r="350" ht="15.75" customHeight="1">
      <c r="I350" s="49"/>
      <c r="J350" s="49"/>
      <c r="K350" s="49"/>
      <c r="L350" s="49"/>
      <c r="M350" s="49"/>
      <c r="N350" s="49"/>
      <c r="O350" s="49"/>
      <c r="P350" s="49"/>
      <c r="Q350" s="49"/>
    </row>
    <row r="351" ht="15.75" customHeight="1">
      <c r="I351" s="49"/>
      <c r="J351" s="49"/>
      <c r="K351" s="49"/>
      <c r="L351" s="49"/>
      <c r="M351" s="49"/>
      <c r="N351" s="49"/>
      <c r="O351" s="49"/>
      <c r="P351" s="49"/>
      <c r="Q351" s="49"/>
    </row>
    <row r="352" ht="15.75" customHeight="1">
      <c r="I352" s="49"/>
      <c r="J352" s="49"/>
      <c r="K352" s="49"/>
      <c r="L352" s="49"/>
      <c r="M352" s="49"/>
      <c r="N352" s="49"/>
      <c r="O352" s="49"/>
      <c r="P352" s="49"/>
      <c r="Q352" s="49"/>
    </row>
    <row r="353" ht="15.75" customHeight="1">
      <c r="I353" s="49"/>
      <c r="J353" s="49"/>
      <c r="K353" s="49"/>
      <c r="L353" s="49"/>
      <c r="M353" s="49"/>
      <c r="N353" s="49"/>
      <c r="O353" s="49"/>
      <c r="P353" s="49"/>
      <c r="Q353" s="49"/>
    </row>
    <row r="354" ht="15.75" customHeight="1">
      <c r="I354" s="49"/>
      <c r="J354" s="49"/>
      <c r="K354" s="49"/>
      <c r="L354" s="49"/>
      <c r="M354" s="49"/>
      <c r="N354" s="49"/>
      <c r="O354" s="49"/>
      <c r="P354" s="49"/>
      <c r="Q354" s="49"/>
    </row>
    <row r="355" ht="15.75" customHeight="1">
      <c r="I355" s="49"/>
      <c r="J355" s="49"/>
      <c r="K355" s="49"/>
      <c r="L355" s="49"/>
      <c r="M355" s="49"/>
      <c r="N355" s="49"/>
      <c r="O355" s="49"/>
      <c r="P355" s="49"/>
      <c r="Q355" s="49"/>
    </row>
    <row r="356" ht="15.75" customHeight="1">
      <c r="I356" s="49"/>
      <c r="J356" s="49"/>
      <c r="K356" s="49"/>
      <c r="L356" s="49"/>
      <c r="M356" s="49"/>
      <c r="N356" s="49"/>
      <c r="O356" s="49"/>
      <c r="P356" s="49"/>
      <c r="Q356" s="49"/>
    </row>
    <row r="357" ht="15.75" customHeight="1">
      <c r="I357" s="49"/>
      <c r="J357" s="49"/>
      <c r="K357" s="49"/>
      <c r="L357" s="49"/>
      <c r="M357" s="49"/>
      <c r="N357" s="49"/>
      <c r="O357" s="49"/>
      <c r="P357" s="49"/>
      <c r="Q357" s="49"/>
    </row>
    <row r="358" ht="15.75" customHeight="1">
      <c r="I358" s="49"/>
      <c r="J358" s="49"/>
      <c r="K358" s="49"/>
      <c r="L358" s="49"/>
      <c r="M358" s="49"/>
      <c r="N358" s="49"/>
      <c r="O358" s="49"/>
      <c r="P358" s="49"/>
      <c r="Q358" s="49"/>
    </row>
    <row r="359" ht="15.75" customHeight="1">
      <c r="I359" s="49"/>
      <c r="J359" s="49"/>
      <c r="K359" s="49"/>
      <c r="L359" s="49"/>
      <c r="M359" s="49"/>
      <c r="N359" s="49"/>
      <c r="O359" s="49"/>
      <c r="P359" s="49"/>
      <c r="Q359" s="49"/>
    </row>
    <row r="360" ht="15.75" customHeight="1">
      <c r="I360" s="49"/>
      <c r="J360" s="49"/>
      <c r="K360" s="49"/>
      <c r="L360" s="49"/>
      <c r="M360" s="49"/>
      <c r="N360" s="49"/>
      <c r="O360" s="49"/>
      <c r="P360" s="49"/>
      <c r="Q360" s="49"/>
    </row>
    <row r="361" ht="15.75" customHeight="1">
      <c r="I361" s="49"/>
      <c r="J361" s="49"/>
      <c r="K361" s="49"/>
      <c r="L361" s="49"/>
      <c r="M361" s="49"/>
      <c r="N361" s="49"/>
      <c r="O361" s="49"/>
      <c r="P361" s="49"/>
      <c r="Q361" s="49"/>
    </row>
    <row r="362" ht="15.75" customHeight="1">
      <c r="I362" s="49"/>
      <c r="J362" s="49"/>
      <c r="K362" s="49"/>
      <c r="L362" s="49"/>
      <c r="M362" s="49"/>
      <c r="N362" s="49"/>
      <c r="O362" s="49"/>
      <c r="P362" s="49"/>
      <c r="Q362" s="49"/>
    </row>
    <row r="363" ht="15.75" customHeight="1">
      <c r="I363" s="49"/>
      <c r="J363" s="49"/>
      <c r="K363" s="49"/>
      <c r="L363" s="49"/>
      <c r="M363" s="49"/>
      <c r="N363" s="49"/>
      <c r="O363" s="49"/>
      <c r="P363" s="49"/>
      <c r="Q363" s="49"/>
    </row>
    <row r="364" ht="15.75" customHeight="1">
      <c r="I364" s="49"/>
      <c r="J364" s="49"/>
      <c r="K364" s="49"/>
      <c r="L364" s="49"/>
      <c r="M364" s="49"/>
      <c r="N364" s="49"/>
      <c r="O364" s="49"/>
      <c r="P364" s="49"/>
      <c r="Q364" s="49"/>
    </row>
    <row r="365" ht="15.75" customHeight="1">
      <c r="I365" s="49"/>
      <c r="J365" s="49"/>
      <c r="K365" s="49"/>
      <c r="L365" s="49"/>
      <c r="M365" s="49"/>
      <c r="N365" s="49"/>
      <c r="O365" s="49"/>
      <c r="P365" s="49"/>
      <c r="Q365" s="49"/>
    </row>
    <row r="366" ht="15.75" customHeight="1">
      <c r="I366" s="49"/>
      <c r="J366" s="49"/>
      <c r="K366" s="49"/>
      <c r="L366" s="49"/>
      <c r="M366" s="49"/>
      <c r="N366" s="49"/>
      <c r="O366" s="49"/>
      <c r="P366" s="49"/>
      <c r="Q366" s="49"/>
    </row>
    <row r="367" ht="15.75" customHeight="1">
      <c r="I367" s="49"/>
      <c r="J367" s="49"/>
      <c r="K367" s="49"/>
      <c r="L367" s="49"/>
      <c r="M367" s="49"/>
      <c r="N367" s="49"/>
      <c r="O367" s="49"/>
      <c r="P367" s="49"/>
      <c r="Q367" s="49"/>
    </row>
    <row r="368" ht="15.75" customHeight="1">
      <c r="I368" s="49"/>
      <c r="J368" s="49"/>
      <c r="K368" s="49"/>
      <c r="L368" s="49"/>
      <c r="M368" s="49"/>
      <c r="N368" s="49"/>
      <c r="O368" s="49"/>
      <c r="P368" s="49"/>
      <c r="Q368" s="49"/>
    </row>
    <row r="369" ht="15.75" customHeight="1">
      <c r="I369" s="49"/>
      <c r="J369" s="49"/>
      <c r="K369" s="49"/>
      <c r="L369" s="49"/>
      <c r="M369" s="49"/>
      <c r="N369" s="49"/>
      <c r="O369" s="49"/>
      <c r="P369" s="49"/>
      <c r="Q369" s="49"/>
    </row>
    <row r="370" ht="15.75" customHeight="1">
      <c r="I370" s="49"/>
      <c r="J370" s="49"/>
      <c r="K370" s="49"/>
      <c r="L370" s="49"/>
      <c r="M370" s="49"/>
      <c r="N370" s="49"/>
      <c r="O370" s="49"/>
      <c r="P370" s="49"/>
      <c r="Q370" s="49"/>
    </row>
    <row r="371" ht="15.75" customHeight="1">
      <c r="I371" s="49"/>
      <c r="J371" s="49"/>
      <c r="K371" s="49"/>
      <c r="L371" s="49"/>
      <c r="M371" s="49"/>
      <c r="N371" s="49"/>
      <c r="O371" s="49"/>
      <c r="P371" s="49"/>
      <c r="Q371" s="49"/>
    </row>
    <row r="372" ht="15.75" customHeight="1">
      <c r="I372" s="49"/>
      <c r="J372" s="49"/>
      <c r="K372" s="49"/>
      <c r="L372" s="49"/>
      <c r="M372" s="49"/>
      <c r="N372" s="49"/>
      <c r="O372" s="49"/>
      <c r="P372" s="49"/>
      <c r="Q372" s="49"/>
    </row>
    <row r="373" ht="15.75" customHeight="1">
      <c r="I373" s="49"/>
      <c r="J373" s="49"/>
      <c r="K373" s="49"/>
      <c r="L373" s="49"/>
      <c r="M373" s="49"/>
      <c r="N373" s="49"/>
      <c r="O373" s="49"/>
      <c r="P373" s="49"/>
      <c r="Q373" s="49"/>
    </row>
    <row r="374" ht="15.75" customHeight="1">
      <c r="I374" s="49"/>
      <c r="J374" s="49"/>
      <c r="K374" s="49"/>
      <c r="L374" s="49"/>
      <c r="M374" s="49"/>
      <c r="N374" s="49"/>
      <c r="O374" s="49"/>
      <c r="P374" s="49"/>
      <c r="Q374" s="49"/>
    </row>
    <row r="375" ht="15.75" customHeight="1">
      <c r="I375" s="49"/>
      <c r="J375" s="49"/>
      <c r="K375" s="49"/>
      <c r="L375" s="49"/>
      <c r="M375" s="49"/>
      <c r="N375" s="49"/>
      <c r="O375" s="49"/>
      <c r="P375" s="49"/>
      <c r="Q375" s="49"/>
    </row>
    <row r="376" ht="15.75" customHeight="1">
      <c r="I376" s="49"/>
      <c r="J376" s="49"/>
      <c r="K376" s="49"/>
      <c r="L376" s="49"/>
      <c r="M376" s="49"/>
      <c r="N376" s="49"/>
      <c r="O376" s="49"/>
      <c r="P376" s="49"/>
      <c r="Q376" s="49"/>
    </row>
    <row r="377" ht="15.75" customHeight="1">
      <c r="I377" s="49"/>
      <c r="J377" s="49"/>
      <c r="K377" s="49"/>
      <c r="L377" s="49"/>
      <c r="M377" s="49"/>
      <c r="N377" s="49"/>
      <c r="O377" s="49"/>
      <c r="P377" s="49"/>
      <c r="Q377" s="49"/>
    </row>
    <row r="378" ht="15.75" customHeight="1">
      <c r="I378" s="49"/>
      <c r="J378" s="49"/>
      <c r="K378" s="49"/>
      <c r="L378" s="49"/>
      <c r="M378" s="49"/>
      <c r="N378" s="49"/>
      <c r="O378" s="49"/>
      <c r="P378" s="49"/>
      <c r="Q378" s="49"/>
    </row>
    <row r="379" ht="15.75" customHeight="1">
      <c r="I379" s="49"/>
      <c r="J379" s="49"/>
      <c r="K379" s="49"/>
      <c r="L379" s="49"/>
      <c r="M379" s="49"/>
      <c r="N379" s="49"/>
      <c r="O379" s="49"/>
      <c r="P379" s="49"/>
      <c r="Q379" s="49"/>
    </row>
    <row r="380" ht="15.75" customHeight="1">
      <c r="I380" s="49"/>
      <c r="J380" s="49"/>
      <c r="K380" s="49"/>
      <c r="L380" s="49"/>
      <c r="M380" s="49"/>
      <c r="N380" s="49"/>
      <c r="O380" s="49"/>
      <c r="P380" s="49"/>
      <c r="Q380" s="49"/>
    </row>
    <row r="381" ht="15.75" customHeight="1">
      <c r="I381" s="49"/>
      <c r="J381" s="49"/>
      <c r="K381" s="49"/>
      <c r="L381" s="49"/>
      <c r="M381" s="49"/>
      <c r="N381" s="49"/>
      <c r="O381" s="49"/>
      <c r="P381" s="49"/>
      <c r="Q381" s="49"/>
    </row>
    <row r="382" ht="15.75" customHeight="1">
      <c r="I382" s="49"/>
      <c r="J382" s="49"/>
      <c r="K382" s="49"/>
      <c r="L382" s="49"/>
      <c r="M382" s="49"/>
      <c r="N382" s="49"/>
      <c r="O382" s="49"/>
      <c r="P382" s="49"/>
      <c r="Q382" s="49"/>
    </row>
    <row r="383" ht="15.75" customHeight="1">
      <c r="I383" s="49"/>
      <c r="J383" s="49"/>
      <c r="K383" s="49"/>
      <c r="L383" s="49"/>
      <c r="M383" s="49"/>
      <c r="N383" s="49"/>
      <c r="O383" s="49"/>
      <c r="P383" s="49"/>
      <c r="Q383" s="49"/>
    </row>
    <row r="384" ht="15.75" customHeight="1">
      <c r="I384" s="49"/>
      <c r="J384" s="49"/>
      <c r="K384" s="49"/>
      <c r="L384" s="49"/>
      <c r="M384" s="49"/>
      <c r="N384" s="49"/>
      <c r="O384" s="49"/>
      <c r="P384" s="49"/>
      <c r="Q384" s="49"/>
    </row>
    <row r="385" ht="15.75" customHeight="1">
      <c r="I385" s="49"/>
      <c r="J385" s="49"/>
      <c r="K385" s="49"/>
      <c r="L385" s="49"/>
      <c r="M385" s="49"/>
      <c r="N385" s="49"/>
      <c r="O385" s="49"/>
      <c r="P385" s="49"/>
      <c r="Q385" s="49"/>
    </row>
    <row r="386" ht="15.75" customHeight="1">
      <c r="I386" s="49"/>
      <c r="J386" s="49"/>
      <c r="K386" s="49"/>
      <c r="L386" s="49"/>
      <c r="M386" s="49"/>
      <c r="N386" s="49"/>
      <c r="O386" s="49"/>
      <c r="P386" s="49"/>
      <c r="Q386" s="49"/>
    </row>
    <row r="387" ht="15.75" customHeight="1">
      <c r="I387" s="49"/>
      <c r="J387" s="49"/>
      <c r="K387" s="49"/>
      <c r="L387" s="49"/>
      <c r="M387" s="49"/>
      <c r="N387" s="49"/>
      <c r="O387" s="49"/>
      <c r="P387" s="49"/>
      <c r="Q387" s="49"/>
    </row>
    <row r="388" ht="15.75" customHeight="1">
      <c r="I388" s="49"/>
      <c r="J388" s="49"/>
      <c r="K388" s="49"/>
      <c r="L388" s="49"/>
      <c r="M388" s="49"/>
      <c r="N388" s="49"/>
      <c r="O388" s="49"/>
      <c r="P388" s="49"/>
      <c r="Q388" s="49"/>
    </row>
    <row r="389" ht="15.75" customHeight="1">
      <c r="I389" s="49"/>
      <c r="J389" s="49"/>
      <c r="K389" s="49"/>
      <c r="L389" s="49"/>
      <c r="M389" s="49"/>
      <c r="N389" s="49"/>
      <c r="O389" s="49"/>
      <c r="P389" s="49"/>
      <c r="Q389" s="49"/>
    </row>
    <row r="390" ht="15.75" customHeight="1">
      <c r="I390" s="49"/>
      <c r="J390" s="49"/>
      <c r="K390" s="49"/>
      <c r="L390" s="49"/>
      <c r="M390" s="49"/>
      <c r="N390" s="49"/>
      <c r="O390" s="49"/>
      <c r="P390" s="49"/>
      <c r="Q390" s="49"/>
    </row>
    <row r="391" ht="15.75" customHeight="1">
      <c r="I391" s="49"/>
      <c r="J391" s="49"/>
      <c r="K391" s="49"/>
      <c r="L391" s="49"/>
      <c r="M391" s="49"/>
      <c r="N391" s="49"/>
      <c r="O391" s="49"/>
      <c r="P391" s="49"/>
      <c r="Q391" s="49"/>
    </row>
    <row r="392" ht="15.75" customHeight="1">
      <c r="I392" s="49"/>
      <c r="J392" s="49"/>
      <c r="K392" s="49"/>
      <c r="L392" s="49"/>
      <c r="M392" s="49"/>
      <c r="N392" s="49"/>
      <c r="O392" s="49"/>
      <c r="P392" s="49"/>
      <c r="Q392" s="49"/>
    </row>
    <row r="393" ht="15.75" customHeight="1">
      <c r="I393" s="49"/>
      <c r="J393" s="49"/>
      <c r="K393" s="49"/>
      <c r="L393" s="49"/>
      <c r="M393" s="49"/>
      <c r="N393" s="49"/>
      <c r="O393" s="49"/>
      <c r="P393" s="49"/>
      <c r="Q393" s="49"/>
    </row>
    <row r="394" ht="15.75" customHeight="1">
      <c r="I394" s="49"/>
      <c r="J394" s="49"/>
      <c r="K394" s="49"/>
      <c r="L394" s="49"/>
      <c r="M394" s="49"/>
      <c r="N394" s="49"/>
      <c r="O394" s="49"/>
      <c r="P394" s="49"/>
      <c r="Q394" s="49"/>
    </row>
    <row r="395" ht="15.75" customHeight="1">
      <c r="I395" s="49"/>
      <c r="J395" s="49"/>
      <c r="K395" s="49"/>
      <c r="L395" s="49"/>
      <c r="M395" s="49"/>
      <c r="N395" s="49"/>
      <c r="O395" s="49"/>
      <c r="P395" s="49"/>
      <c r="Q395" s="49"/>
    </row>
    <row r="396" ht="15.75" customHeight="1">
      <c r="I396" s="49"/>
      <c r="J396" s="49"/>
      <c r="K396" s="49"/>
      <c r="L396" s="49"/>
      <c r="M396" s="49"/>
      <c r="N396" s="49"/>
      <c r="O396" s="49"/>
      <c r="P396" s="49"/>
      <c r="Q396" s="49"/>
    </row>
    <row r="397" ht="15.75" customHeight="1">
      <c r="I397" s="49"/>
      <c r="J397" s="49"/>
      <c r="K397" s="49"/>
      <c r="L397" s="49"/>
      <c r="M397" s="49"/>
      <c r="N397" s="49"/>
      <c r="O397" s="49"/>
      <c r="P397" s="49"/>
      <c r="Q397" s="49"/>
    </row>
    <row r="398" ht="15.75" customHeight="1">
      <c r="I398" s="49"/>
      <c r="J398" s="49"/>
      <c r="K398" s="49"/>
      <c r="L398" s="49"/>
      <c r="M398" s="49"/>
      <c r="N398" s="49"/>
      <c r="O398" s="49"/>
      <c r="P398" s="49"/>
      <c r="Q398" s="49"/>
    </row>
    <row r="399" ht="15.75" customHeight="1">
      <c r="I399" s="49"/>
      <c r="J399" s="49"/>
      <c r="K399" s="49"/>
      <c r="L399" s="49"/>
      <c r="M399" s="49"/>
      <c r="N399" s="49"/>
      <c r="O399" s="49"/>
      <c r="P399" s="49"/>
      <c r="Q399" s="49"/>
    </row>
    <row r="400" ht="15.75" customHeight="1">
      <c r="I400" s="49"/>
      <c r="J400" s="49"/>
      <c r="K400" s="49"/>
      <c r="L400" s="49"/>
      <c r="M400" s="49"/>
      <c r="N400" s="49"/>
      <c r="O400" s="49"/>
      <c r="P400" s="49"/>
      <c r="Q400" s="49"/>
    </row>
    <row r="401" ht="15.75" customHeight="1">
      <c r="I401" s="49"/>
      <c r="J401" s="49"/>
      <c r="K401" s="49"/>
      <c r="L401" s="49"/>
      <c r="M401" s="49"/>
      <c r="N401" s="49"/>
      <c r="O401" s="49"/>
      <c r="P401" s="49"/>
      <c r="Q401" s="49"/>
    </row>
    <row r="402" ht="15.75" customHeight="1">
      <c r="I402" s="49"/>
      <c r="J402" s="49"/>
      <c r="K402" s="49"/>
      <c r="L402" s="49"/>
      <c r="M402" s="49"/>
      <c r="N402" s="49"/>
      <c r="O402" s="49"/>
      <c r="P402" s="49"/>
      <c r="Q402" s="49"/>
    </row>
    <row r="403" ht="15.75" customHeight="1">
      <c r="I403" s="49"/>
      <c r="J403" s="49"/>
      <c r="K403" s="49"/>
      <c r="L403" s="49"/>
      <c r="M403" s="49"/>
      <c r="N403" s="49"/>
      <c r="O403" s="49"/>
      <c r="P403" s="49"/>
      <c r="Q403" s="49"/>
    </row>
    <row r="404" ht="15.75" customHeight="1">
      <c r="I404" s="49"/>
      <c r="J404" s="49"/>
      <c r="K404" s="49"/>
      <c r="L404" s="49"/>
      <c r="M404" s="49"/>
      <c r="N404" s="49"/>
      <c r="O404" s="49"/>
      <c r="P404" s="49"/>
      <c r="Q404" s="49"/>
    </row>
    <row r="405" ht="15.75" customHeight="1">
      <c r="I405" s="49"/>
      <c r="J405" s="49"/>
      <c r="K405" s="49"/>
      <c r="L405" s="49"/>
      <c r="M405" s="49"/>
      <c r="N405" s="49"/>
      <c r="O405" s="49"/>
      <c r="P405" s="49"/>
      <c r="Q405" s="49"/>
    </row>
    <row r="406" ht="15.75" customHeight="1">
      <c r="I406" s="49"/>
      <c r="J406" s="49"/>
      <c r="K406" s="49"/>
      <c r="L406" s="49"/>
      <c r="M406" s="49"/>
      <c r="N406" s="49"/>
      <c r="O406" s="49"/>
      <c r="P406" s="49"/>
      <c r="Q406" s="49"/>
    </row>
    <row r="407" ht="15.75" customHeight="1">
      <c r="I407" s="49"/>
      <c r="J407" s="49"/>
      <c r="K407" s="49"/>
      <c r="L407" s="49"/>
      <c r="M407" s="49"/>
      <c r="N407" s="49"/>
      <c r="O407" s="49"/>
      <c r="P407" s="49"/>
      <c r="Q407" s="49"/>
    </row>
    <row r="408" ht="15.75" customHeight="1">
      <c r="I408" s="49"/>
      <c r="J408" s="49"/>
      <c r="K408" s="49"/>
      <c r="L408" s="49"/>
      <c r="M408" s="49"/>
      <c r="N408" s="49"/>
      <c r="O408" s="49"/>
      <c r="P408" s="49"/>
      <c r="Q408" s="49"/>
    </row>
    <row r="409" ht="15.75" customHeight="1">
      <c r="I409" s="49"/>
      <c r="J409" s="49"/>
      <c r="K409" s="49"/>
      <c r="L409" s="49"/>
      <c r="M409" s="49"/>
      <c r="N409" s="49"/>
      <c r="O409" s="49"/>
      <c r="P409" s="49"/>
      <c r="Q409" s="49"/>
    </row>
    <row r="410" ht="15.75" customHeight="1">
      <c r="I410" s="49"/>
      <c r="J410" s="49"/>
      <c r="K410" s="49"/>
      <c r="L410" s="49"/>
      <c r="M410" s="49"/>
      <c r="N410" s="49"/>
      <c r="O410" s="49"/>
      <c r="P410" s="49"/>
      <c r="Q410" s="49"/>
    </row>
    <row r="411" ht="15.75" customHeight="1">
      <c r="I411" s="49"/>
      <c r="J411" s="49"/>
      <c r="K411" s="49"/>
      <c r="L411" s="49"/>
      <c r="M411" s="49"/>
      <c r="N411" s="49"/>
      <c r="O411" s="49"/>
      <c r="P411" s="49"/>
      <c r="Q411" s="49"/>
    </row>
    <row r="412" ht="15.75" customHeight="1">
      <c r="I412" s="49"/>
      <c r="J412" s="49"/>
      <c r="K412" s="49"/>
      <c r="L412" s="49"/>
      <c r="M412" s="49"/>
      <c r="N412" s="49"/>
      <c r="O412" s="49"/>
      <c r="P412" s="49"/>
      <c r="Q412" s="49"/>
    </row>
    <row r="413" ht="15.75" customHeight="1">
      <c r="I413" s="49"/>
      <c r="J413" s="49"/>
      <c r="K413" s="49"/>
      <c r="L413" s="49"/>
      <c r="M413" s="49"/>
      <c r="N413" s="49"/>
      <c r="O413" s="49"/>
      <c r="P413" s="49"/>
      <c r="Q413" s="49"/>
    </row>
    <row r="414" ht="15.75" customHeight="1">
      <c r="I414" s="49"/>
      <c r="J414" s="49"/>
      <c r="K414" s="49"/>
      <c r="L414" s="49"/>
      <c r="M414" s="49"/>
      <c r="N414" s="49"/>
      <c r="O414" s="49"/>
      <c r="P414" s="49"/>
      <c r="Q414" s="49"/>
    </row>
    <row r="415" ht="15.75" customHeight="1">
      <c r="I415" s="49"/>
      <c r="J415" s="49"/>
      <c r="K415" s="49"/>
      <c r="L415" s="49"/>
      <c r="M415" s="49"/>
      <c r="N415" s="49"/>
      <c r="O415" s="49"/>
      <c r="P415" s="49"/>
      <c r="Q415" s="49"/>
    </row>
    <row r="416" ht="15.75" customHeight="1">
      <c r="I416" s="49"/>
      <c r="J416" s="49"/>
      <c r="K416" s="49"/>
      <c r="L416" s="49"/>
      <c r="M416" s="49"/>
      <c r="N416" s="49"/>
      <c r="O416" s="49"/>
      <c r="P416" s="49"/>
      <c r="Q416" s="49"/>
    </row>
    <row r="417" ht="15.75" customHeight="1">
      <c r="I417" s="49"/>
      <c r="J417" s="49"/>
      <c r="K417" s="49"/>
      <c r="L417" s="49"/>
      <c r="M417" s="49"/>
      <c r="N417" s="49"/>
      <c r="O417" s="49"/>
      <c r="P417" s="49"/>
      <c r="Q417" s="49"/>
    </row>
    <row r="418" ht="15.75" customHeight="1">
      <c r="I418" s="49"/>
      <c r="J418" s="49"/>
      <c r="K418" s="49"/>
      <c r="L418" s="49"/>
      <c r="M418" s="49"/>
      <c r="N418" s="49"/>
      <c r="O418" s="49"/>
      <c r="P418" s="49"/>
      <c r="Q418" s="49"/>
    </row>
    <row r="419" ht="15.75" customHeight="1">
      <c r="I419" s="49"/>
      <c r="J419" s="49"/>
      <c r="K419" s="49"/>
      <c r="L419" s="49"/>
      <c r="M419" s="49"/>
      <c r="N419" s="49"/>
      <c r="O419" s="49"/>
      <c r="P419" s="49"/>
      <c r="Q419" s="49"/>
    </row>
    <row r="420" ht="15.75" customHeight="1">
      <c r="I420" s="49"/>
      <c r="J420" s="49"/>
      <c r="K420" s="49"/>
      <c r="L420" s="49"/>
      <c r="M420" s="49"/>
      <c r="N420" s="49"/>
      <c r="O420" s="49"/>
      <c r="P420" s="49"/>
      <c r="Q420" s="49"/>
    </row>
    <row r="421" ht="15.75" customHeight="1">
      <c r="I421" s="49"/>
      <c r="J421" s="49"/>
      <c r="K421" s="49"/>
      <c r="L421" s="49"/>
      <c r="M421" s="49"/>
      <c r="N421" s="49"/>
      <c r="O421" s="49"/>
      <c r="P421" s="49"/>
      <c r="Q421" s="49"/>
    </row>
    <row r="422" ht="15.75" customHeight="1">
      <c r="I422" s="49"/>
      <c r="J422" s="49"/>
      <c r="K422" s="49"/>
      <c r="L422" s="49"/>
      <c r="M422" s="49"/>
      <c r="N422" s="49"/>
      <c r="O422" s="49"/>
      <c r="P422" s="49"/>
      <c r="Q422" s="49"/>
    </row>
    <row r="423" ht="15.75" customHeight="1">
      <c r="I423" s="49"/>
      <c r="J423" s="49"/>
      <c r="K423" s="49"/>
      <c r="L423" s="49"/>
      <c r="M423" s="49"/>
      <c r="N423" s="49"/>
      <c r="O423" s="49"/>
      <c r="P423" s="49"/>
      <c r="Q423" s="49"/>
    </row>
    <row r="424" ht="15.75" customHeight="1">
      <c r="I424" s="49"/>
      <c r="J424" s="49"/>
      <c r="K424" s="49"/>
      <c r="L424" s="49"/>
      <c r="M424" s="49"/>
      <c r="N424" s="49"/>
      <c r="O424" s="49"/>
      <c r="P424" s="49"/>
      <c r="Q424" s="49"/>
    </row>
    <row r="425" ht="15.75" customHeight="1">
      <c r="I425" s="49"/>
      <c r="J425" s="49"/>
      <c r="K425" s="49"/>
      <c r="L425" s="49"/>
      <c r="M425" s="49"/>
      <c r="N425" s="49"/>
      <c r="O425" s="49"/>
      <c r="P425" s="49"/>
      <c r="Q425" s="49"/>
    </row>
    <row r="426" ht="15.75" customHeight="1">
      <c r="I426" s="49"/>
      <c r="J426" s="49"/>
      <c r="K426" s="49"/>
      <c r="L426" s="49"/>
      <c r="M426" s="49"/>
      <c r="N426" s="49"/>
      <c r="O426" s="49"/>
      <c r="P426" s="49"/>
      <c r="Q426" s="49"/>
    </row>
    <row r="427" ht="15.75" customHeight="1">
      <c r="I427" s="49"/>
      <c r="J427" s="49"/>
      <c r="K427" s="49"/>
      <c r="L427" s="49"/>
      <c r="M427" s="49"/>
      <c r="N427" s="49"/>
      <c r="O427" s="49"/>
      <c r="P427" s="49"/>
      <c r="Q427" s="49"/>
    </row>
    <row r="428" ht="15.75" customHeight="1">
      <c r="I428" s="49"/>
      <c r="J428" s="49"/>
      <c r="K428" s="49"/>
      <c r="L428" s="49"/>
      <c r="M428" s="49"/>
      <c r="N428" s="49"/>
      <c r="O428" s="49"/>
      <c r="P428" s="49"/>
      <c r="Q428" s="49"/>
    </row>
    <row r="429" ht="15.75" customHeight="1">
      <c r="I429" s="49"/>
      <c r="J429" s="49"/>
      <c r="K429" s="49"/>
      <c r="L429" s="49"/>
      <c r="M429" s="49"/>
      <c r="N429" s="49"/>
      <c r="O429" s="49"/>
      <c r="P429" s="49"/>
      <c r="Q429" s="49"/>
    </row>
    <row r="430" ht="15.75" customHeight="1">
      <c r="I430" s="49"/>
      <c r="J430" s="49"/>
      <c r="K430" s="49"/>
      <c r="L430" s="49"/>
      <c r="M430" s="49"/>
      <c r="N430" s="49"/>
      <c r="O430" s="49"/>
      <c r="P430" s="49"/>
      <c r="Q430" s="49"/>
    </row>
    <row r="431" ht="15.75" customHeight="1">
      <c r="I431" s="49"/>
      <c r="J431" s="49"/>
      <c r="K431" s="49"/>
      <c r="L431" s="49"/>
      <c r="M431" s="49"/>
      <c r="N431" s="49"/>
      <c r="O431" s="49"/>
      <c r="P431" s="49"/>
      <c r="Q431" s="49"/>
    </row>
    <row r="432" ht="15.75" customHeight="1">
      <c r="I432" s="49"/>
      <c r="J432" s="49"/>
      <c r="K432" s="49"/>
      <c r="L432" s="49"/>
      <c r="M432" s="49"/>
      <c r="N432" s="49"/>
      <c r="O432" s="49"/>
      <c r="P432" s="49"/>
      <c r="Q432" s="49"/>
    </row>
    <row r="433" ht="15.75" customHeight="1">
      <c r="I433" s="49"/>
      <c r="J433" s="49"/>
      <c r="K433" s="49"/>
      <c r="L433" s="49"/>
      <c r="M433" s="49"/>
      <c r="N433" s="49"/>
      <c r="O433" s="49"/>
      <c r="P433" s="49"/>
      <c r="Q433" s="49"/>
    </row>
    <row r="434" ht="15.75" customHeight="1">
      <c r="I434" s="49"/>
      <c r="J434" s="49"/>
      <c r="K434" s="49"/>
      <c r="L434" s="49"/>
      <c r="M434" s="49"/>
      <c r="N434" s="49"/>
      <c r="O434" s="49"/>
      <c r="P434" s="49"/>
      <c r="Q434" s="49"/>
    </row>
    <row r="435" ht="15.75" customHeight="1">
      <c r="I435" s="49"/>
      <c r="J435" s="49"/>
      <c r="K435" s="49"/>
      <c r="L435" s="49"/>
      <c r="M435" s="49"/>
      <c r="N435" s="49"/>
      <c r="O435" s="49"/>
      <c r="P435" s="49"/>
      <c r="Q435" s="49"/>
    </row>
    <row r="436" ht="15.75" customHeight="1">
      <c r="I436" s="49"/>
      <c r="J436" s="49"/>
      <c r="K436" s="49"/>
      <c r="L436" s="49"/>
      <c r="M436" s="49"/>
      <c r="N436" s="49"/>
      <c r="O436" s="49"/>
      <c r="P436" s="49"/>
      <c r="Q436" s="49"/>
    </row>
    <row r="437" ht="15.75" customHeight="1">
      <c r="I437" s="49"/>
      <c r="J437" s="49"/>
      <c r="K437" s="49"/>
      <c r="L437" s="49"/>
      <c r="M437" s="49"/>
      <c r="N437" s="49"/>
      <c r="O437" s="49"/>
      <c r="P437" s="49"/>
      <c r="Q437" s="49"/>
    </row>
    <row r="438" ht="15.75" customHeight="1">
      <c r="I438" s="49"/>
      <c r="J438" s="49"/>
      <c r="K438" s="49"/>
      <c r="L438" s="49"/>
      <c r="M438" s="49"/>
      <c r="N438" s="49"/>
      <c r="O438" s="49"/>
      <c r="P438" s="49"/>
      <c r="Q438" s="49"/>
    </row>
    <row r="439" ht="15.75" customHeight="1">
      <c r="I439" s="49"/>
      <c r="J439" s="49"/>
      <c r="K439" s="49"/>
      <c r="L439" s="49"/>
      <c r="M439" s="49"/>
      <c r="N439" s="49"/>
      <c r="O439" s="49"/>
      <c r="P439" s="49"/>
      <c r="Q439" s="49"/>
    </row>
    <row r="440" ht="15.75" customHeight="1">
      <c r="I440" s="49"/>
      <c r="J440" s="49"/>
      <c r="K440" s="49"/>
      <c r="L440" s="49"/>
      <c r="M440" s="49"/>
      <c r="N440" s="49"/>
      <c r="O440" s="49"/>
      <c r="P440" s="49"/>
      <c r="Q440" s="49"/>
    </row>
    <row r="441" ht="15.75" customHeight="1">
      <c r="I441" s="49"/>
      <c r="J441" s="49"/>
      <c r="K441" s="49"/>
      <c r="L441" s="49"/>
      <c r="M441" s="49"/>
      <c r="N441" s="49"/>
      <c r="O441" s="49"/>
      <c r="P441" s="49"/>
      <c r="Q441" s="49"/>
    </row>
    <row r="442" ht="15.75" customHeight="1">
      <c r="I442" s="49"/>
      <c r="J442" s="49"/>
      <c r="K442" s="49"/>
      <c r="L442" s="49"/>
      <c r="M442" s="49"/>
      <c r="N442" s="49"/>
      <c r="O442" s="49"/>
      <c r="P442" s="49"/>
      <c r="Q442" s="49"/>
    </row>
    <row r="443" ht="15.75" customHeight="1">
      <c r="I443" s="49"/>
      <c r="J443" s="49"/>
      <c r="K443" s="49"/>
      <c r="L443" s="49"/>
      <c r="M443" s="49"/>
      <c r="N443" s="49"/>
      <c r="O443" s="49"/>
      <c r="P443" s="49"/>
      <c r="Q443" s="49"/>
    </row>
    <row r="444" ht="15.75" customHeight="1">
      <c r="I444" s="49"/>
      <c r="J444" s="49"/>
      <c r="K444" s="49"/>
      <c r="L444" s="49"/>
      <c r="M444" s="49"/>
      <c r="N444" s="49"/>
      <c r="O444" s="49"/>
      <c r="P444" s="49"/>
      <c r="Q444" s="49"/>
    </row>
    <row r="445" ht="15.75" customHeight="1">
      <c r="I445" s="49"/>
      <c r="J445" s="49"/>
      <c r="K445" s="49"/>
      <c r="L445" s="49"/>
      <c r="M445" s="49"/>
      <c r="N445" s="49"/>
      <c r="O445" s="49"/>
      <c r="P445" s="49"/>
      <c r="Q445" s="49"/>
    </row>
    <row r="446" ht="15.75" customHeight="1">
      <c r="I446" s="49"/>
      <c r="J446" s="49"/>
      <c r="K446" s="49"/>
      <c r="L446" s="49"/>
      <c r="M446" s="49"/>
      <c r="N446" s="49"/>
      <c r="O446" s="49"/>
      <c r="P446" s="49"/>
      <c r="Q446" s="49"/>
    </row>
    <row r="447" ht="15.75" customHeight="1">
      <c r="I447" s="49"/>
      <c r="J447" s="49"/>
      <c r="K447" s="49"/>
      <c r="L447" s="49"/>
      <c r="M447" s="49"/>
      <c r="N447" s="49"/>
      <c r="O447" s="49"/>
      <c r="P447" s="49"/>
      <c r="Q447" s="49"/>
    </row>
    <row r="448" ht="15.75" customHeight="1">
      <c r="I448" s="49"/>
      <c r="J448" s="49"/>
      <c r="K448" s="49"/>
      <c r="L448" s="49"/>
      <c r="M448" s="49"/>
      <c r="N448" s="49"/>
      <c r="O448" s="49"/>
      <c r="P448" s="49"/>
      <c r="Q448" s="49"/>
    </row>
    <row r="449" ht="15.75" customHeight="1">
      <c r="I449" s="49"/>
      <c r="J449" s="49"/>
      <c r="K449" s="49"/>
      <c r="L449" s="49"/>
      <c r="M449" s="49"/>
      <c r="N449" s="49"/>
      <c r="O449" s="49"/>
      <c r="P449" s="49"/>
      <c r="Q449" s="49"/>
    </row>
    <row r="450" ht="15.75" customHeight="1">
      <c r="I450" s="49"/>
      <c r="J450" s="49"/>
      <c r="K450" s="49"/>
      <c r="L450" s="49"/>
      <c r="M450" s="49"/>
      <c r="N450" s="49"/>
      <c r="O450" s="49"/>
      <c r="P450" s="49"/>
      <c r="Q450" s="49"/>
    </row>
    <row r="451" ht="15.75" customHeight="1">
      <c r="I451" s="49"/>
      <c r="J451" s="49"/>
      <c r="K451" s="49"/>
      <c r="L451" s="49"/>
      <c r="M451" s="49"/>
      <c r="N451" s="49"/>
      <c r="O451" s="49"/>
      <c r="P451" s="49"/>
      <c r="Q451" s="49"/>
    </row>
    <row r="452" ht="15.75" customHeight="1">
      <c r="I452" s="49"/>
      <c r="J452" s="49"/>
      <c r="K452" s="49"/>
      <c r="L452" s="49"/>
      <c r="M452" s="49"/>
      <c r="N452" s="49"/>
      <c r="O452" s="49"/>
      <c r="P452" s="49"/>
      <c r="Q452" s="49"/>
    </row>
    <row r="453" ht="15.75" customHeight="1">
      <c r="I453" s="49"/>
      <c r="J453" s="49"/>
      <c r="K453" s="49"/>
      <c r="L453" s="49"/>
      <c r="M453" s="49"/>
      <c r="N453" s="49"/>
      <c r="O453" s="49"/>
      <c r="P453" s="49"/>
      <c r="Q453" s="49"/>
    </row>
    <row r="454" ht="15.75" customHeight="1">
      <c r="I454" s="49"/>
      <c r="J454" s="49"/>
      <c r="K454" s="49"/>
      <c r="L454" s="49"/>
      <c r="M454" s="49"/>
      <c r="N454" s="49"/>
      <c r="O454" s="49"/>
      <c r="P454" s="49"/>
      <c r="Q454" s="49"/>
    </row>
    <row r="455" ht="15.75" customHeight="1">
      <c r="I455" s="49"/>
      <c r="J455" s="49"/>
      <c r="K455" s="49"/>
      <c r="L455" s="49"/>
      <c r="M455" s="49"/>
      <c r="N455" s="49"/>
      <c r="O455" s="49"/>
      <c r="P455" s="49"/>
      <c r="Q455" s="49"/>
    </row>
    <row r="456" ht="15.75" customHeight="1">
      <c r="I456" s="49"/>
      <c r="J456" s="49"/>
      <c r="K456" s="49"/>
      <c r="L456" s="49"/>
      <c r="M456" s="49"/>
      <c r="N456" s="49"/>
      <c r="O456" s="49"/>
      <c r="P456" s="49"/>
      <c r="Q456" s="49"/>
    </row>
    <row r="457" ht="15.75" customHeight="1">
      <c r="I457" s="49"/>
      <c r="J457" s="49"/>
      <c r="K457" s="49"/>
      <c r="L457" s="49"/>
      <c r="M457" s="49"/>
      <c r="N457" s="49"/>
      <c r="O457" s="49"/>
      <c r="P457" s="49"/>
      <c r="Q457" s="49"/>
    </row>
    <row r="458" ht="15.75" customHeight="1">
      <c r="I458" s="49"/>
      <c r="J458" s="49"/>
      <c r="K458" s="49"/>
      <c r="L458" s="49"/>
      <c r="M458" s="49"/>
      <c r="N458" s="49"/>
      <c r="O458" s="49"/>
      <c r="P458" s="49"/>
      <c r="Q458" s="49"/>
    </row>
    <row r="459" ht="15.75" customHeight="1">
      <c r="I459" s="49"/>
      <c r="J459" s="49"/>
      <c r="K459" s="49"/>
      <c r="L459" s="49"/>
      <c r="M459" s="49"/>
      <c r="N459" s="49"/>
      <c r="O459" s="49"/>
      <c r="P459" s="49"/>
      <c r="Q459" s="49"/>
    </row>
    <row r="460" ht="15.75" customHeight="1">
      <c r="I460" s="49"/>
      <c r="J460" s="49"/>
      <c r="K460" s="49"/>
      <c r="L460" s="49"/>
      <c r="M460" s="49"/>
      <c r="N460" s="49"/>
      <c r="O460" s="49"/>
      <c r="P460" s="49"/>
      <c r="Q460" s="49"/>
    </row>
    <row r="461" ht="15.75" customHeight="1">
      <c r="I461" s="49"/>
      <c r="J461" s="49"/>
      <c r="K461" s="49"/>
      <c r="L461" s="49"/>
      <c r="M461" s="49"/>
      <c r="N461" s="49"/>
      <c r="O461" s="49"/>
      <c r="P461" s="49"/>
      <c r="Q461" s="49"/>
    </row>
    <row r="462" ht="15.75" customHeight="1">
      <c r="I462" s="49"/>
      <c r="J462" s="49"/>
      <c r="K462" s="49"/>
      <c r="L462" s="49"/>
      <c r="M462" s="49"/>
      <c r="N462" s="49"/>
      <c r="O462" s="49"/>
      <c r="P462" s="49"/>
      <c r="Q462" s="49"/>
    </row>
    <row r="463" ht="15.75" customHeight="1">
      <c r="I463" s="49"/>
      <c r="J463" s="49"/>
      <c r="K463" s="49"/>
      <c r="L463" s="49"/>
      <c r="M463" s="49"/>
      <c r="N463" s="49"/>
      <c r="O463" s="49"/>
      <c r="P463" s="49"/>
      <c r="Q463" s="49"/>
    </row>
    <row r="464" ht="15.75" customHeight="1">
      <c r="I464" s="49"/>
      <c r="J464" s="49"/>
      <c r="K464" s="49"/>
      <c r="L464" s="49"/>
      <c r="M464" s="49"/>
      <c r="N464" s="49"/>
      <c r="O464" s="49"/>
      <c r="P464" s="49"/>
      <c r="Q464" s="49"/>
    </row>
    <row r="465" ht="15.75" customHeight="1">
      <c r="I465" s="49"/>
      <c r="J465" s="49"/>
      <c r="K465" s="49"/>
      <c r="L465" s="49"/>
      <c r="M465" s="49"/>
      <c r="N465" s="49"/>
      <c r="O465" s="49"/>
      <c r="P465" s="49"/>
      <c r="Q465" s="49"/>
    </row>
    <row r="466" ht="15.75" customHeight="1">
      <c r="I466" s="49"/>
      <c r="J466" s="49"/>
      <c r="K466" s="49"/>
      <c r="L466" s="49"/>
      <c r="M466" s="49"/>
      <c r="N466" s="49"/>
      <c r="O466" s="49"/>
      <c r="P466" s="49"/>
      <c r="Q466" s="49"/>
    </row>
    <row r="467" ht="15.75" customHeight="1">
      <c r="I467" s="49"/>
      <c r="J467" s="49"/>
      <c r="K467" s="49"/>
      <c r="L467" s="49"/>
      <c r="M467" s="49"/>
      <c r="N467" s="49"/>
      <c r="O467" s="49"/>
      <c r="P467" s="49"/>
      <c r="Q467" s="49"/>
    </row>
    <row r="468" ht="15.75" customHeight="1">
      <c r="I468" s="49"/>
      <c r="J468" s="49"/>
      <c r="K468" s="49"/>
      <c r="L468" s="49"/>
      <c r="M468" s="49"/>
      <c r="N468" s="49"/>
      <c r="O468" s="49"/>
      <c r="P468" s="49"/>
      <c r="Q468" s="49"/>
    </row>
    <row r="469" ht="15.75" customHeight="1">
      <c r="I469" s="49"/>
      <c r="J469" s="49"/>
      <c r="K469" s="49"/>
      <c r="L469" s="49"/>
      <c r="M469" s="49"/>
      <c r="N469" s="49"/>
      <c r="O469" s="49"/>
      <c r="P469" s="49"/>
      <c r="Q469" s="49"/>
    </row>
    <row r="470" ht="15.75" customHeight="1">
      <c r="I470" s="49"/>
      <c r="J470" s="49"/>
      <c r="K470" s="49"/>
      <c r="L470" s="49"/>
      <c r="M470" s="49"/>
      <c r="N470" s="49"/>
      <c r="O470" s="49"/>
      <c r="P470" s="49"/>
      <c r="Q470" s="49"/>
    </row>
    <row r="471" ht="15.75" customHeight="1">
      <c r="I471" s="49"/>
      <c r="J471" s="49"/>
      <c r="K471" s="49"/>
      <c r="L471" s="49"/>
      <c r="M471" s="49"/>
      <c r="N471" s="49"/>
      <c r="O471" s="49"/>
      <c r="P471" s="49"/>
      <c r="Q471" s="49"/>
    </row>
    <row r="472" ht="15.75" customHeight="1">
      <c r="I472" s="49"/>
      <c r="J472" s="49"/>
      <c r="K472" s="49"/>
      <c r="L472" s="49"/>
      <c r="M472" s="49"/>
      <c r="N472" s="49"/>
      <c r="O472" s="49"/>
      <c r="P472" s="49"/>
      <c r="Q472" s="49"/>
    </row>
    <row r="473" ht="15.75" customHeight="1">
      <c r="I473" s="49"/>
      <c r="J473" s="49"/>
      <c r="K473" s="49"/>
      <c r="L473" s="49"/>
      <c r="M473" s="49"/>
      <c r="N473" s="49"/>
      <c r="O473" s="49"/>
      <c r="P473" s="49"/>
      <c r="Q473" s="49"/>
    </row>
    <row r="474" ht="15.75" customHeight="1">
      <c r="I474" s="49"/>
      <c r="J474" s="49"/>
      <c r="K474" s="49"/>
      <c r="L474" s="49"/>
      <c r="M474" s="49"/>
      <c r="N474" s="49"/>
      <c r="O474" s="49"/>
      <c r="P474" s="49"/>
      <c r="Q474" s="49"/>
    </row>
    <row r="475" ht="15.75" customHeight="1">
      <c r="I475" s="49"/>
      <c r="J475" s="49"/>
      <c r="K475" s="49"/>
      <c r="L475" s="49"/>
      <c r="M475" s="49"/>
      <c r="N475" s="49"/>
      <c r="O475" s="49"/>
      <c r="P475" s="49"/>
      <c r="Q475" s="49"/>
    </row>
    <row r="476" ht="15.75" customHeight="1">
      <c r="I476" s="49"/>
      <c r="J476" s="49"/>
      <c r="K476" s="49"/>
      <c r="L476" s="49"/>
      <c r="M476" s="49"/>
      <c r="N476" s="49"/>
      <c r="O476" s="49"/>
      <c r="P476" s="49"/>
      <c r="Q476" s="49"/>
    </row>
    <row r="477" ht="15.75" customHeight="1">
      <c r="I477" s="49"/>
      <c r="J477" s="49"/>
      <c r="K477" s="49"/>
      <c r="L477" s="49"/>
      <c r="M477" s="49"/>
      <c r="N477" s="49"/>
      <c r="O477" s="49"/>
      <c r="P477" s="49"/>
      <c r="Q477" s="49"/>
    </row>
    <row r="478" ht="15.75" customHeight="1">
      <c r="I478" s="49"/>
      <c r="J478" s="49"/>
      <c r="K478" s="49"/>
      <c r="L478" s="49"/>
      <c r="M478" s="49"/>
      <c r="N478" s="49"/>
      <c r="O478" s="49"/>
      <c r="P478" s="49"/>
      <c r="Q478" s="49"/>
    </row>
    <row r="479" ht="15.75" customHeight="1">
      <c r="I479" s="49"/>
      <c r="J479" s="49"/>
      <c r="K479" s="49"/>
      <c r="L479" s="49"/>
      <c r="M479" s="49"/>
      <c r="N479" s="49"/>
      <c r="O479" s="49"/>
      <c r="P479" s="49"/>
      <c r="Q479" s="49"/>
    </row>
    <row r="480" ht="15.75" customHeight="1">
      <c r="I480" s="49"/>
      <c r="J480" s="49"/>
      <c r="K480" s="49"/>
      <c r="L480" s="49"/>
      <c r="M480" s="49"/>
      <c r="N480" s="49"/>
      <c r="O480" s="49"/>
      <c r="P480" s="49"/>
      <c r="Q480" s="49"/>
    </row>
    <row r="481" ht="15.75" customHeight="1">
      <c r="I481" s="49"/>
      <c r="J481" s="49"/>
      <c r="K481" s="49"/>
      <c r="L481" s="49"/>
      <c r="M481" s="49"/>
      <c r="N481" s="49"/>
      <c r="O481" s="49"/>
      <c r="P481" s="49"/>
      <c r="Q481" s="49"/>
    </row>
    <row r="482" ht="15.75" customHeight="1">
      <c r="I482" s="49"/>
      <c r="J482" s="49"/>
      <c r="K482" s="49"/>
      <c r="L482" s="49"/>
      <c r="M482" s="49"/>
      <c r="N482" s="49"/>
      <c r="O482" s="49"/>
      <c r="P482" s="49"/>
      <c r="Q482" s="49"/>
    </row>
    <row r="483" ht="15.75" customHeight="1">
      <c r="I483" s="49"/>
      <c r="J483" s="49"/>
      <c r="K483" s="49"/>
      <c r="L483" s="49"/>
      <c r="M483" s="49"/>
      <c r="N483" s="49"/>
      <c r="O483" s="49"/>
      <c r="P483" s="49"/>
      <c r="Q483" s="49"/>
    </row>
    <row r="484" ht="15.75" customHeight="1">
      <c r="I484" s="49"/>
      <c r="J484" s="49"/>
      <c r="K484" s="49"/>
      <c r="L484" s="49"/>
      <c r="M484" s="49"/>
      <c r="N484" s="49"/>
      <c r="O484" s="49"/>
      <c r="P484" s="49"/>
      <c r="Q484" s="49"/>
    </row>
    <row r="485" ht="15.75" customHeight="1">
      <c r="I485" s="49"/>
      <c r="J485" s="49"/>
      <c r="K485" s="49"/>
      <c r="L485" s="49"/>
      <c r="M485" s="49"/>
      <c r="N485" s="49"/>
      <c r="O485" s="49"/>
      <c r="P485" s="49"/>
      <c r="Q485" s="49"/>
    </row>
    <row r="486" ht="15.75" customHeight="1">
      <c r="I486" s="49"/>
      <c r="J486" s="49"/>
      <c r="K486" s="49"/>
      <c r="L486" s="49"/>
      <c r="M486" s="49"/>
      <c r="N486" s="49"/>
      <c r="O486" s="49"/>
      <c r="P486" s="49"/>
      <c r="Q486" s="49"/>
    </row>
    <row r="487" ht="15.75" customHeight="1">
      <c r="I487" s="49"/>
      <c r="J487" s="49"/>
      <c r="K487" s="49"/>
      <c r="L487" s="49"/>
      <c r="M487" s="49"/>
      <c r="N487" s="49"/>
      <c r="O487" s="49"/>
      <c r="P487" s="49"/>
      <c r="Q487" s="49"/>
    </row>
    <row r="488" ht="15.75" customHeight="1">
      <c r="I488" s="49"/>
      <c r="J488" s="49"/>
      <c r="K488" s="49"/>
      <c r="L488" s="49"/>
      <c r="M488" s="49"/>
      <c r="N488" s="49"/>
      <c r="O488" s="49"/>
      <c r="P488" s="49"/>
      <c r="Q488" s="49"/>
    </row>
    <row r="489" ht="15.75" customHeight="1">
      <c r="I489" s="49"/>
      <c r="J489" s="49"/>
      <c r="K489" s="49"/>
      <c r="L489" s="49"/>
      <c r="M489" s="49"/>
      <c r="N489" s="49"/>
      <c r="O489" s="49"/>
      <c r="P489" s="49"/>
      <c r="Q489" s="49"/>
    </row>
    <row r="490" ht="15.75" customHeight="1">
      <c r="I490" s="49"/>
      <c r="J490" s="49"/>
      <c r="K490" s="49"/>
      <c r="L490" s="49"/>
      <c r="M490" s="49"/>
      <c r="N490" s="49"/>
      <c r="O490" s="49"/>
      <c r="P490" s="49"/>
      <c r="Q490" s="49"/>
    </row>
    <row r="491" ht="15.75" customHeight="1">
      <c r="I491" s="49"/>
      <c r="J491" s="49"/>
      <c r="K491" s="49"/>
      <c r="L491" s="49"/>
      <c r="M491" s="49"/>
      <c r="N491" s="49"/>
      <c r="O491" s="49"/>
      <c r="P491" s="49"/>
      <c r="Q491" s="49"/>
    </row>
    <row r="492" ht="15.75" customHeight="1">
      <c r="I492" s="49"/>
      <c r="J492" s="49"/>
      <c r="K492" s="49"/>
      <c r="L492" s="49"/>
      <c r="M492" s="49"/>
      <c r="N492" s="49"/>
      <c r="O492" s="49"/>
      <c r="P492" s="49"/>
      <c r="Q492" s="49"/>
    </row>
    <row r="493" ht="15.75" customHeight="1">
      <c r="I493" s="49"/>
      <c r="J493" s="49"/>
      <c r="K493" s="49"/>
      <c r="L493" s="49"/>
      <c r="M493" s="49"/>
      <c r="N493" s="49"/>
      <c r="O493" s="49"/>
      <c r="P493" s="49"/>
      <c r="Q493" s="49"/>
    </row>
    <row r="494" ht="15.75" customHeight="1">
      <c r="I494" s="49"/>
      <c r="J494" s="49"/>
      <c r="K494" s="49"/>
      <c r="L494" s="49"/>
      <c r="M494" s="49"/>
      <c r="N494" s="49"/>
      <c r="O494" s="49"/>
      <c r="P494" s="49"/>
      <c r="Q494" s="49"/>
    </row>
    <row r="495" ht="15.75" customHeight="1">
      <c r="I495" s="49"/>
      <c r="J495" s="49"/>
      <c r="K495" s="49"/>
      <c r="L495" s="49"/>
      <c r="M495" s="49"/>
      <c r="N495" s="49"/>
      <c r="O495" s="49"/>
      <c r="P495" s="49"/>
      <c r="Q495" s="49"/>
    </row>
    <row r="496" ht="15.75" customHeight="1">
      <c r="I496" s="49"/>
      <c r="J496" s="49"/>
      <c r="K496" s="49"/>
      <c r="L496" s="49"/>
      <c r="M496" s="49"/>
      <c r="N496" s="49"/>
      <c r="O496" s="49"/>
      <c r="P496" s="49"/>
      <c r="Q496" s="49"/>
    </row>
    <row r="497" ht="15.75" customHeight="1">
      <c r="I497" s="49"/>
      <c r="J497" s="49"/>
      <c r="K497" s="49"/>
      <c r="L497" s="49"/>
      <c r="M497" s="49"/>
      <c r="N497" s="49"/>
      <c r="O497" s="49"/>
      <c r="P497" s="49"/>
      <c r="Q497" s="49"/>
    </row>
    <row r="498" ht="15.75" customHeight="1">
      <c r="I498" s="49"/>
      <c r="J498" s="49"/>
      <c r="K498" s="49"/>
      <c r="L498" s="49"/>
      <c r="M498" s="49"/>
      <c r="N498" s="49"/>
      <c r="O498" s="49"/>
      <c r="P498" s="49"/>
      <c r="Q498" s="49"/>
    </row>
    <row r="499" ht="15.75" customHeight="1">
      <c r="I499" s="49"/>
      <c r="J499" s="49"/>
      <c r="K499" s="49"/>
      <c r="L499" s="49"/>
      <c r="M499" s="49"/>
      <c r="N499" s="49"/>
      <c r="O499" s="49"/>
      <c r="P499" s="49"/>
      <c r="Q499" s="49"/>
    </row>
    <row r="500" ht="15.75" customHeight="1">
      <c r="I500" s="49"/>
      <c r="J500" s="49"/>
      <c r="K500" s="49"/>
      <c r="L500" s="49"/>
      <c r="M500" s="49"/>
      <c r="N500" s="49"/>
      <c r="O500" s="49"/>
      <c r="P500" s="49"/>
      <c r="Q500" s="49"/>
    </row>
    <row r="501" ht="15.75" customHeight="1">
      <c r="I501" s="49"/>
      <c r="J501" s="49"/>
      <c r="K501" s="49"/>
      <c r="L501" s="49"/>
      <c r="M501" s="49"/>
      <c r="N501" s="49"/>
      <c r="O501" s="49"/>
      <c r="P501" s="49"/>
      <c r="Q501" s="49"/>
    </row>
    <row r="502" ht="15.75" customHeight="1">
      <c r="I502" s="49"/>
      <c r="J502" s="49"/>
      <c r="K502" s="49"/>
      <c r="L502" s="49"/>
      <c r="M502" s="49"/>
      <c r="N502" s="49"/>
      <c r="O502" s="49"/>
      <c r="P502" s="49"/>
      <c r="Q502" s="49"/>
    </row>
    <row r="503" ht="15.75" customHeight="1">
      <c r="I503" s="49"/>
      <c r="J503" s="49"/>
      <c r="K503" s="49"/>
      <c r="L503" s="49"/>
      <c r="M503" s="49"/>
      <c r="N503" s="49"/>
      <c r="O503" s="49"/>
      <c r="P503" s="49"/>
      <c r="Q503" s="49"/>
    </row>
    <row r="504" ht="15.75" customHeight="1">
      <c r="I504" s="49"/>
      <c r="J504" s="49"/>
      <c r="K504" s="49"/>
      <c r="L504" s="49"/>
      <c r="M504" s="49"/>
      <c r="N504" s="49"/>
      <c r="O504" s="49"/>
      <c r="P504" s="49"/>
      <c r="Q504" s="49"/>
    </row>
    <row r="505" ht="15.75" customHeight="1">
      <c r="I505" s="49"/>
      <c r="J505" s="49"/>
      <c r="K505" s="49"/>
      <c r="L505" s="49"/>
      <c r="M505" s="49"/>
      <c r="N505" s="49"/>
      <c r="O505" s="49"/>
      <c r="P505" s="49"/>
      <c r="Q505" s="49"/>
    </row>
    <row r="506" ht="15.75" customHeight="1">
      <c r="I506" s="49"/>
      <c r="J506" s="49"/>
      <c r="K506" s="49"/>
      <c r="L506" s="49"/>
      <c r="M506" s="49"/>
      <c r="N506" s="49"/>
      <c r="O506" s="49"/>
      <c r="P506" s="49"/>
      <c r="Q506" s="49"/>
    </row>
    <row r="507" ht="15.75" customHeight="1">
      <c r="I507" s="49"/>
      <c r="J507" s="49"/>
      <c r="K507" s="49"/>
      <c r="L507" s="49"/>
      <c r="M507" s="49"/>
      <c r="N507" s="49"/>
      <c r="O507" s="49"/>
      <c r="P507" s="49"/>
      <c r="Q507" s="49"/>
    </row>
    <row r="508" ht="15.75" customHeight="1">
      <c r="I508" s="49"/>
      <c r="J508" s="49"/>
      <c r="K508" s="49"/>
      <c r="L508" s="49"/>
      <c r="M508" s="49"/>
      <c r="N508" s="49"/>
      <c r="O508" s="49"/>
      <c r="P508" s="49"/>
      <c r="Q508" s="49"/>
    </row>
    <row r="509" ht="15.75" customHeight="1">
      <c r="I509" s="49"/>
      <c r="J509" s="49"/>
      <c r="K509" s="49"/>
      <c r="L509" s="49"/>
      <c r="M509" s="49"/>
      <c r="N509" s="49"/>
      <c r="O509" s="49"/>
      <c r="P509" s="49"/>
      <c r="Q509" s="49"/>
    </row>
    <row r="510" ht="15.75" customHeight="1">
      <c r="I510" s="49"/>
      <c r="J510" s="49"/>
      <c r="K510" s="49"/>
      <c r="L510" s="49"/>
      <c r="M510" s="49"/>
      <c r="N510" s="49"/>
      <c r="O510" s="49"/>
      <c r="P510" s="49"/>
      <c r="Q510" s="49"/>
    </row>
    <row r="511" ht="15.75" customHeight="1">
      <c r="I511" s="49"/>
      <c r="J511" s="49"/>
      <c r="K511" s="49"/>
      <c r="L511" s="49"/>
      <c r="M511" s="49"/>
      <c r="N511" s="49"/>
      <c r="O511" s="49"/>
      <c r="P511" s="49"/>
      <c r="Q511" s="49"/>
    </row>
    <row r="512" ht="15.75" customHeight="1">
      <c r="I512" s="49"/>
      <c r="J512" s="49"/>
      <c r="K512" s="49"/>
      <c r="L512" s="49"/>
      <c r="M512" s="49"/>
      <c r="N512" s="49"/>
      <c r="O512" s="49"/>
      <c r="P512" s="49"/>
      <c r="Q512" s="49"/>
    </row>
    <row r="513" ht="15.75" customHeight="1">
      <c r="I513" s="49"/>
      <c r="J513" s="49"/>
      <c r="K513" s="49"/>
      <c r="L513" s="49"/>
      <c r="M513" s="49"/>
      <c r="N513" s="49"/>
      <c r="O513" s="49"/>
      <c r="P513" s="49"/>
      <c r="Q513" s="49"/>
    </row>
    <row r="514" ht="15.75" customHeight="1">
      <c r="I514" s="49"/>
      <c r="J514" s="49"/>
      <c r="K514" s="49"/>
      <c r="L514" s="49"/>
      <c r="M514" s="49"/>
      <c r="N514" s="49"/>
      <c r="O514" s="49"/>
      <c r="P514" s="49"/>
      <c r="Q514" s="49"/>
    </row>
    <row r="515" ht="15.75" customHeight="1">
      <c r="I515" s="49"/>
      <c r="J515" s="49"/>
      <c r="K515" s="49"/>
      <c r="L515" s="49"/>
      <c r="M515" s="49"/>
      <c r="N515" s="49"/>
      <c r="O515" s="49"/>
      <c r="P515" s="49"/>
      <c r="Q515" s="49"/>
    </row>
    <row r="516" ht="15.75" customHeight="1">
      <c r="I516" s="49"/>
      <c r="J516" s="49"/>
      <c r="K516" s="49"/>
      <c r="L516" s="49"/>
      <c r="M516" s="49"/>
      <c r="N516" s="49"/>
      <c r="O516" s="49"/>
      <c r="P516" s="49"/>
      <c r="Q516" s="49"/>
    </row>
    <row r="517" ht="15.75" customHeight="1">
      <c r="I517" s="49"/>
      <c r="J517" s="49"/>
      <c r="K517" s="49"/>
      <c r="L517" s="49"/>
      <c r="M517" s="49"/>
      <c r="N517" s="49"/>
      <c r="O517" s="49"/>
      <c r="P517" s="49"/>
      <c r="Q517" s="49"/>
    </row>
    <row r="518" ht="15.75" customHeight="1">
      <c r="I518" s="49"/>
      <c r="J518" s="49"/>
      <c r="K518" s="49"/>
      <c r="L518" s="49"/>
      <c r="M518" s="49"/>
      <c r="N518" s="49"/>
      <c r="O518" s="49"/>
      <c r="P518" s="49"/>
      <c r="Q518" s="49"/>
    </row>
    <row r="519" ht="15.75" customHeight="1">
      <c r="I519" s="49"/>
      <c r="J519" s="49"/>
      <c r="K519" s="49"/>
      <c r="L519" s="49"/>
      <c r="M519" s="49"/>
      <c r="N519" s="49"/>
      <c r="O519" s="49"/>
      <c r="P519" s="49"/>
      <c r="Q519" s="49"/>
    </row>
    <row r="520" ht="15.75" customHeight="1">
      <c r="I520" s="49"/>
      <c r="J520" s="49"/>
      <c r="K520" s="49"/>
      <c r="L520" s="49"/>
      <c r="M520" s="49"/>
      <c r="N520" s="49"/>
      <c r="O520" s="49"/>
      <c r="P520" s="49"/>
      <c r="Q520" s="49"/>
    </row>
    <row r="521" ht="15.75" customHeight="1">
      <c r="I521" s="49"/>
      <c r="J521" s="49"/>
      <c r="K521" s="49"/>
      <c r="L521" s="49"/>
      <c r="M521" s="49"/>
      <c r="N521" s="49"/>
      <c r="O521" s="49"/>
      <c r="P521" s="49"/>
      <c r="Q521" s="49"/>
    </row>
    <row r="522" ht="15.75" customHeight="1">
      <c r="I522" s="49"/>
      <c r="J522" s="49"/>
      <c r="K522" s="49"/>
      <c r="L522" s="49"/>
      <c r="M522" s="49"/>
      <c r="N522" s="49"/>
      <c r="O522" s="49"/>
      <c r="P522" s="49"/>
      <c r="Q522" s="49"/>
    </row>
    <row r="523" ht="15.75" customHeight="1">
      <c r="I523" s="49"/>
      <c r="J523" s="49"/>
      <c r="K523" s="49"/>
      <c r="L523" s="49"/>
      <c r="M523" s="49"/>
      <c r="N523" s="49"/>
      <c r="O523" s="49"/>
      <c r="P523" s="49"/>
      <c r="Q523" s="49"/>
    </row>
    <row r="524" ht="15.75" customHeight="1">
      <c r="I524" s="49"/>
      <c r="J524" s="49"/>
      <c r="K524" s="49"/>
      <c r="L524" s="49"/>
      <c r="M524" s="49"/>
      <c r="N524" s="49"/>
      <c r="O524" s="49"/>
      <c r="P524" s="49"/>
      <c r="Q524" s="49"/>
    </row>
    <row r="525" ht="15.75" customHeight="1">
      <c r="I525" s="49"/>
      <c r="J525" s="49"/>
      <c r="K525" s="49"/>
      <c r="L525" s="49"/>
      <c r="M525" s="49"/>
      <c r="N525" s="49"/>
      <c r="O525" s="49"/>
      <c r="P525" s="49"/>
      <c r="Q525" s="49"/>
    </row>
    <row r="526" ht="15.75" customHeight="1">
      <c r="I526" s="49"/>
      <c r="J526" s="49"/>
      <c r="K526" s="49"/>
      <c r="L526" s="49"/>
      <c r="M526" s="49"/>
      <c r="N526" s="49"/>
      <c r="O526" s="49"/>
      <c r="P526" s="49"/>
      <c r="Q526" s="49"/>
    </row>
    <row r="527" ht="15.75" customHeight="1">
      <c r="I527" s="49"/>
      <c r="J527" s="49"/>
      <c r="K527" s="49"/>
      <c r="L527" s="49"/>
      <c r="M527" s="49"/>
      <c r="N527" s="49"/>
      <c r="O527" s="49"/>
      <c r="P527" s="49"/>
      <c r="Q527" s="49"/>
    </row>
    <row r="528" ht="15.75" customHeight="1">
      <c r="I528" s="49"/>
      <c r="J528" s="49"/>
      <c r="K528" s="49"/>
      <c r="L528" s="49"/>
      <c r="M528" s="49"/>
      <c r="N528" s="49"/>
      <c r="O528" s="49"/>
      <c r="P528" s="49"/>
      <c r="Q528" s="49"/>
    </row>
    <row r="529" ht="15.75" customHeight="1">
      <c r="I529" s="49"/>
      <c r="J529" s="49"/>
      <c r="K529" s="49"/>
      <c r="L529" s="49"/>
      <c r="M529" s="49"/>
      <c r="N529" s="49"/>
      <c r="O529" s="49"/>
      <c r="P529" s="49"/>
      <c r="Q529" s="49"/>
    </row>
    <row r="530" ht="15.75" customHeight="1">
      <c r="I530" s="49"/>
      <c r="J530" s="49"/>
      <c r="K530" s="49"/>
      <c r="L530" s="49"/>
      <c r="M530" s="49"/>
      <c r="N530" s="49"/>
      <c r="O530" s="49"/>
      <c r="P530" s="49"/>
      <c r="Q530" s="49"/>
    </row>
    <row r="531" ht="15.75" customHeight="1">
      <c r="I531" s="49"/>
      <c r="J531" s="49"/>
      <c r="K531" s="49"/>
      <c r="L531" s="49"/>
      <c r="M531" s="49"/>
      <c r="N531" s="49"/>
      <c r="O531" s="49"/>
      <c r="P531" s="49"/>
      <c r="Q531" s="49"/>
    </row>
    <row r="532" ht="15.75" customHeight="1">
      <c r="I532" s="49"/>
      <c r="J532" s="49"/>
      <c r="K532" s="49"/>
      <c r="L532" s="49"/>
      <c r="M532" s="49"/>
      <c r="N532" s="49"/>
      <c r="O532" s="49"/>
      <c r="P532" s="49"/>
      <c r="Q532" s="49"/>
    </row>
    <row r="533" ht="15.75" customHeight="1">
      <c r="I533" s="49"/>
      <c r="J533" s="49"/>
      <c r="K533" s="49"/>
      <c r="L533" s="49"/>
      <c r="M533" s="49"/>
      <c r="N533" s="49"/>
      <c r="O533" s="49"/>
      <c r="P533" s="49"/>
      <c r="Q533" s="49"/>
    </row>
    <row r="534" ht="15.75" customHeight="1">
      <c r="I534" s="49"/>
      <c r="J534" s="49"/>
      <c r="K534" s="49"/>
      <c r="L534" s="49"/>
      <c r="M534" s="49"/>
      <c r="N534" s="49"/>
      <c r="O534" s="49"/>
      <c r="P534" s="49"/>
      <c r="Q534" s="49"/>
    </row>
    <row r="535" ht="15.75" customHeight="1">
      <c r="I535" s="49"/>
      <c r="J535" s="49"/>
      <c r="K535" s="49"/>
      <c r="L535" s="49"/>
      <c r="M535" s="49"/>
      <c r="N535" s="49"/>
      <c r="O535" s="49"/>
      <c r="P535" s="49"/>
      <c r="Q535" s="49"/>
    </row>
    <row r="536" ht="15.75" customHeight="1">
      <c r="I536" s="49"/>
      <c r="J536" s="49"/>
      <c r="K536" s="49"/>
      <c r="L536" s="49"/>
      <c r="M536" s="49"/>
      <c r="N536" s="49"/>
      <c r="O536" s="49"/>
      <c r="P536" s="49"/>
      <c r="Q536" s="49"/>
    </row>
    <row r="537" ht="15.75" customHeight="1">
      <c r="I537" s="49"/>
      <c r="J537" s="49"/>
      <c r="K537" s="49"/>
      <c r="L537" s="49"/>
      <c r="M537" s="49"/>
      <c r="N537" s="49"/>
      <c r="O537" s="49"/>
      <c r="P537" s="49"/>
      <c r="Q537" s="49"/>
    </row>
    <row r="538" ht="15.75" customHeight="1">
      <c r="I538" s="49"/>
      <c r="J538" s="49"/>
      <c r="K538" s="49"/>
      <c r="L538" s="49"/>
      <c r="M538" s="49"/>
      <c r="N538" s="49"/>
      <c r="O538" s="49"/>
      <c r="P538" s="49"/>
      <c r="Q538" s="49"/>
    </row>
    <row r="539" ht="15.75" customHeight="1">
      <c r="I539" s="49"/>
      <c r="J539" s="49"/>
      <c r="K539" s="49"/>
      <c r="L539" s="49"/>
      <c r="M539" s="49"/>
      <c r="N539" s="49"/>
      <c r="O539" s="49"/>
      <c r="P539" s="49"/>
      <c r="Q539" s="49"/>
    </row>
    <row r="540" ht="15.75" customHeight="1">
      <c r="I540" s="49"/>
      <c r="J540" s="49"/>
      <c r="K540" s="49"/>
      <c r="L540" s="49"/>
      <c r="M540" s="49"/>
      <c r="N540" s="49"/>
      <c r="O540" s="49"/>
      <c r="P540" s="49"/>
      <c r="Q540" s="49"/>
    </row>
    <row r="541" ht="15.75" customHeight="1">
      <c r="I541" s="49"/>
      <c r="J541" s="49"/>
      <c r="K541" s="49"/>
      <c r="L541" s="49"/>
      <c r="M541" s="49"/>
      <c r="N541" s="49"/>
      <c r="O541" s="49"/>
      <c r="P541" s="49"/>
      <c r="Q541" s="49"/>
    </row>
    <row r="542" ht="15.75" customHeight="1">
      <c r="I542" s="49"/>
      <c r="J542" s="49"/>
      <c r="K542" s="49"/>
      <c r="L542" s="49"/>
      <c r="M542" s="49"/>
      <c r="N542" s="49"/>
      <c r="O542" s="49"/>
      <c r="P542" s="49"/>
      <c r="Q542" s="49"/>
    </row>
    <row r="543" ht="15.75" customHeight="1">
      <c r="I543" s="49"/>
      <c r="J543" s="49"/>
      <c r="K543" s="49"/>
      <c r="L543" s="49"/>
      <c r="M543" s="49"/>
      <c r="N543" s="49"/>
      <c r="O543" s="49"/>
      <c r="P543" s="49"/>
      <c r="Q543" s="49"/>
    </row>
    <row r="544" ht="15.75" customHeight="1">
      <c r="I544" s="49"/>
      <c r="J544" s="49"/>
      <c r="K544" s="49"/>
      <c r="L544" s="49"/>
      <c r="M544" s="49"/>
      <c r="N544" s="49"/>
      <c r="O544" s="49"/>
      <c r="P544" s="49"/>
      <c r="Q544" s="49"/>
    </row>
    <row r="545" ht="15.75" customHeight="1">
      <c r="I545" s="49"/>
      <c r="J545" s="49"/>
      <c r="K545" s="49"/>
      <c r="L545" s="49"/>
      <c r="M545" s="49"/>
      <c r="N545" s="49"/>
      <c r="O545" s="49"/>
      <c r="P545" s="49"/>
      <c r="Q545" s="49"/>
    </row>
    <row r="546" ht="15.75" customHeight="1">
      <c r="I546" s="49"/>
      <c r="J546" s="49"/>
      <c r="K546" s="49"/>
      <c r="L546" s="49"/>
      <c r="M546" s="49"/>
      <c r="N546" s="49"/>
      <c r="O546" s="49"/>
      <c r="P546" s="49"/>
      <c r="Q546" s="49"/>
    </row>
    <row r="547" ht="15.75" customHeight="1">
      <c r="I547" s="49"/>
      <c r="J547" s="49"/>
      <c r="K547" s="49"/>
      <c r="L547" s="49"/>
      <c r="M547" s="49"/>
      <c r="N547" s="49"/>
      <c r="O547" s="49"/>
      <c r="P547" s="49"/>
      <c r="Q547" s="49"/>
    </row>
    <row r="548" ht="15.75" customHeight="1">
      <c r="I548" s="49"/>
      <c r="J548" s="49"/>
      <c r="K548" s="49"/>
      <c r="L548" s="49"/>
      <c r="M548" s="49"/>
      <c r="N548" s="49"/>
      <c r="O548" s="49"/>
      <c r="P548" s="49"/>
      <c r="Q548" s="49"/>
    </row>
    <row r="549" ht="15.75" customHeight="1">
      <c r="I549" s="49"/>
      <c r="J549" s="49"/>
      <c r="K549" s="49"/>
      <c r="L549" s="49"/>
      <c r="M549" s="49"/>
      <c r="N549" s="49"/>
      <c r="O549" s="49"/>
      <c r="P549" s="49"/>
      <c r="Q549" s="49"/>
    </row>
    <row r="550" ht="15.75" customHeight="1">
      <c r="I550" s="49"/>
      <c r="J550" s="49"/>
      <c r="K550" s="49"/>
      <c r="L550" s="49"/>
      <c r="M550" s="49"/>
      <c r="N550" s="49"/>
      <c r="O550" s="49"/>
      <c r="P550" s="49"/>
      <c r="Q550" s="49"/>
    </row>
    <row r="551" ht="15.75" customHeight="1">
      <c r="I551" s="49"/>
      <c r="J551" s="49"/>
      <c r="K551" s="49"/>
      <c r="L551" s="49"/>
      <c r="M551" s="49"/>
      <c r="N551" s="49"/>
      <c r="O551" s="49"/>
      <c r="P551" s="49"/>
      <c r="Q551" s="49"/>
    </row>
    <row r="552" ht="15.75" customHeight="1">
      <c r="I552" s="49"/>
      <c r="J552" s="49"/>
      <c r="K552" s="49"/>
      <c r="L552" s="49"/>
      <c r="M552" s="49"/>
      <c r="N552" s="49"/>
      <c r="O552" s="49"/>
      <c r="P552" s="49"/>
      <c r="Q552" s="49"/>
    </row>
    <row r="553" ht="15.75" customHeight="1">
      <c r="I553" s="49"/>
      <c r="J553" s="49"/>
      <c r="K553" s="49"/>
      <c r="L553" s="49"/>
      <c r="M553" s="49"/>
      <c r="N553" s="49"/>
      <c r="O553" s="49"/>
      <c r="P553" s="49"/>
      <c r="Q553" s="49"/>
    </row>
    <row r="554" ht="15.75" customHeight="1">
      <c r="I554" s="49"/>
      <c r="J554" s="49"/>
      <c r="K554" s="49"/>
      <c r="L554" s="49"/>
      <c r="M554" s="49"/>
      <c r="N554" s="49"/>
      <c r="O554" s="49"/>
      <c r="P554" s="49"/>
      <c r="Q554" s="49"/>
    </row>
    <row r="555" ht="15.75" customHeight="1">
      <c r="I555" s="49"/>
      <c r="J555" s="49"/>
      <c r="K555" s="49"/>
      <c r="L555" s="49"/>
      <c r="M555" s="49"/>
      <c r="N555" s="49"/>
      <c r="O555" s="49"/>
      <c r="P555" s="49"/>
      <c r="Q555" s="49"/>
    </row>
    <row r="556" ht="15.75" customHeight="1">
      <c r="I556" s="49"/>
      <c r="J556" s="49"/>
      <c r="K556" s="49"/>
      <c r="L556" s="49"/>
      <c r="M556" s="49"/>
      <c r="N556" s="49"/>
      <c r="O556" s="49"/>
      <c r="P556" s="49"/>
      <c r="Q556" s="49"/>
    </row>
    <row r="557" ht="15.75" customHeight="1">
      <c r="I557" s="49"/>
      <c r="J557" s="49"/>
      <c r="K557" s="49"/>
      <c r="L557" s="49"/>
      <c r="M557" s="49"/>
      <c r="N557" s="49"/>
      <c r="O557" s="49"/>
      <c r="P557" s="49"/>
      <c r="Q557" s="49"/>
    </row>
    <row r="558" ht="15.75" customHeight="1">
      <c r="I558" s="49"/>
      <c r="J558" s="49"/>
      <c r="K558" s="49"/>
      <c r="L558" s="49"/>
      <c r="M558" s="49"/>
      <c r="N558" s="49"/>
      <c r="O558" s="49"/>
      <c r="P558" s="49"/>
      <c r="Q558" s="49"/>
    </row>
    <row r="559" ht="15.75" customHeight="1">
      <c r="I559" s="49"/>
      <c r="J559" s="49"/>
      <c r="K559" s="49"/>
      <c r="L559" s="49"/>
      <c r="M559" s="49"/>
      <c r="N559" s="49"/>
      <c r="O559" s="49"/>
      <c r="P559" s="49"/>
      <c r="Q559" s="49"/>
    </row>
    <row r="560" ht="15.75" customHeight="1">
      <c r="I560" s="49"/>
      <c r="J560" s="49"/>
      <c r="K560" s="49"/>
      <c r="L560" s="49"/>
      <c r="M560" s="49"/>
      <c r="N560" s="49"/>
      <c r="O560" s="49"/>
      <c r="P560" s="49"/>
      <c r="Q560" s="49"/>
    </row>
    <row r="561" ht="15.75" customHeight="1">
      <c r="I561" s="49"/>
      <c r="J561" s="49"/>
      <c r="K561" s="49"/>
      <c r="L561" s="49"/>
      <c r="M561" s="49"/>
      <c r="N561" s="49"/>
      <c r="O561" s="49"/>
      <c r="P561" s="49"/>
      <c r="Q561" s="49"/>
    </row>
    <row r="562" ht="15.75" customHeight="1">
      <c r="I562" s="49"/>
      <c r="J562" s="49"/>
      <c r="K562" s="49"/>
      <c r="L562" s="49"/>
      <c r="M562" s="49"/>
      <c r="N562" s="49"/>
      <c r="O562" s="49"/>
      <c r="P562" s="49"/>
      <c r="Q562" s="49"/>
    </row>
    <row r="563" ht="15.75" customHeight="1">
      <c r="I563" s="49"/>
      <c r="J563" s="49"/>
      <c r="K563" s="49"/>
      <c r="L563" s="49"/>
      <c r="M563" s="49"/>
      <c r="N563" s="49"/>
      <c r="O563" s="49"/>
      <c r="P563" s="49"/>
      <c r="Q563" s="49"/>
    </row>
    <row r="564" ht="15.75" customHeight="1">
      <c r="I564" s="49"/>
      <c r="J564" s="49"/>
      <c r="K564" s="49"/>
      <c r="L564" s="49"/>
      <c r="M564" s="49"/>
      <c r="N564" s="49"/>
      <c r="O564" s="49"/>
      <c r="P564" s="49"/>
      <c r="Q564" s="49"/>
    </row>
    <row r="565" ht="15.75" customHeight="1">
      <c r="I565" s="49"/>
      <c r="J565" s="49"/>
      <c r="K565" s="49"/>
      <c r="L565" s="49"/>
      <c r="M565" s="49"/>
      <c r="N565" s="49"/>
      <c r="O565" s="49"/>
      <c r="P565" s="49"/>
      <c r="Q565" s="49"/>
    </row>
    <row r="566" ht="15.75" customHeight="1">
      <c r="I566" s="49"/>
      <c r="J566" s="49"/>
      <c r="K566" s="49"/>
      <c r="L566" s="49"/>
      <c r="M566" s="49"/>
      <c r="N566" s="49"/>
      <c r="O566" s="49"/>
      <c r="P566" s="49"/>
      <c r="Q566" s="49"/>
    </row>
    <row r="567" ht="15.75" customHeight="1">
      <c r="I567" s="49"/>
      <c r="J567" s="49"/>
      <c r="K567" s="49"/>
      <c r="L567" s="49"/>
      <c r="M567" s="49"/>
      <c r="N567" s="49"/>
      <c r="O567" s="49"/>
      <c r="P567" s="49"/>
      <c r="Q567" s="49"/>
    </row>
    <row r="568" ht="15.75" customHeight="1">
      <c r="I568" s="49"/>
      <c r="J568" s="49"/>
      <c r="K568" s="49"/>
      <c r="L568" s="49"/>
      <c r="M568" s="49"/>
      <c r="N568" s="49"/>
      <c r="O568" s="49"/>
      <c r="P568" s="49"/>
      <c r="Q568" s="49"/>
    </row>
    <row r="569" ht="15.75" customHeight="1">
      <c r="I569" s="49"/>
      <c r="J569" s="49"/>
      <c r="K569" s="49"/>
      <c r="L569" s="49"/>
      <c r="M569" s="49"/>
      <c r="N569" s="49"/>
      <c r="O569" s="49"/>
      <c r="P569" s="49"/>
      <c r="Q569" s="49"/>
    </row>
    <row r="570" ht="15.75" customHeight="1">
      <c r="I570" s="49"/>
      <c r="J570" s="49"/>
      <c r="K570" s="49"/>
      <c r="L570" s="49"/>
      <c r="M570" s="49"/>
      <c r="N570" s="49"/>
      <c r="O570" s="49"/>
      <c r="P570" s="49"/>
      <c r="Q570" s="49"/>
    </row>
    <row r="571" ht="15.75" customHeight="1">
      <c r="I571" s="49"/>
      <c r="J571" s="49"/>
      <c r="K571" s="49"/>
      <c r="L571" s="49"/>
      <c r="M571" s="49"/>
      <c r="N571" s="49"/>
      <c r="O571" s="49"/>
      <c r="P571" s="49"/>
      <c r="Q571" s="49"/>
    </row>
    <row r="572" ht="15.75" customHeight="1">
      <c r="I572" s="49"/>
      <c r="J572" s="49"/>
      <c r="K572" s="49"/>
      <c r="L572" s="49"/>
      <c r="M572" s="49"/>
      <c r="N572" s="49"/>
      <c r="O572" s="49"/>
      <c r="P572" s="49"/>
      <c r="Q572" s="49"/>
    </row>
    <row r="573" ht="15.75" customHeight="1">
      <c r="I573" s="49"/>
      <c r="J573" s="49"/>
      <c r="K573" s="49"/>
      <c r="L573" s="49"/>
      <c r="M573" s="49"/>
      <c r="N573" s="49"/>
      <c r="O573" s="49"/>
      <c r="P573" s="49"/>
      <c r="Q573" s="49"/>
    </row>
    <row r="574" ht="15.75" customHeight="1">
      <c r="I574" s="49"/>
      <c r="J574" s="49"/>
      <c r="K574" s="49"/>
      <c r="L574" s="49"/>
      <c r="M574" s="49"/>
      <c r="N574" s="49"/>
      <c r="O574" s="49"/>
      <c r="P574" s="49"/>
      <c r="Q574" s="49"/>
    </row>
    <row r="575" ht="15.75" customHeight="1">
      <c r="I575" s="49"/>
      <c r="J575" s="49"/>
      <c r="K575" s="49"/>
      <c r="L575" s="49"/>
      <c r="M575" s="49"/>
      <c r="N575" s="49"/>
      <c r="O575" s="49"/>
      <c r="P575" s="49"/>
      <c r="Q575" s="49"/>
    </row>
    <row r="576" ht="15.75" customHeight="1">
      <c r="I576" s="49"/>
      <c r="J576" s="49"/>
      <c r="K576" s="49"/>
      <c r="L576" s="49"/>
      <c r="M576" s="49"/>
      <c r="N576" s="49"/>
      <c r="O576" s="49"/>
      <c r="P576" s="49"/>
      <c r="Q576" s="49"/>
    </row>
    <row r="577" ht="15.75" customHeight="1">
      <c r="I577" s="49"/>
      <c r="J577" s="49"/>
      <c r="K577" s="49"/>
      <c r="L577" s="49"/>
      <c r="M577" s="49"/>
      <c r="N577" s="49"/>
      <c r="O577" s="49"/>
      <c r="P577" s="49"/>
      <c r="Q577" s="49"/>
    </row>
    <row r="578" ht="15.75" customHeight="1">
      <c r="I578" s="49"/>
      <c r="J578" s="49"/>
      <c r="K578" s="49"/>
      <c r="L578" s="49"/>
      <c r="M578" s="49"/>
      <c r="N578" s="49"/>
      <c r="O578" s="49"/>
      <c r="P578" s="49"/>
      <c r="Q578" s="49"/>
    </row>
    <row r="579" ht="15.75" customHeight="1">
      <c r="I579" s="49"/>
      <c r="J579" s="49"/>
      <c r="K579" s="49"/>
      <c r="L579" s="49"/>
      <c r="M579" s="49"/>
      <c r="N579" s="49"/>
      <c r="O579" s="49"/>
      <c r="P579" s="49"/>
      <c r="Q579" s="49"/>
    </row>
    <row r="580" ht="15.75" customHeight="1">
      <c r="I580" s="49"/>
      <c r="J580" s="49"/>
      <c r="K580" s="49"/>
      <c r="L580" s="49"/>
      <c r="M580" s="49"/>
      <c r="N580" s="49"/>
      <c r="O580" s="49"/>
      <c r="P580" s="49"/>
      <c r="Q580" s="49"/>
    </row>
    <row r="581" ht="15.75" customHeight="1">
      <c r="I581" s="49"/>
      <c r="J581" s="49"/>
      <c r="K581" s="49"/>
      <c r="L581" s="49"/>
      <c r="M581" s="49"/>
      <c r="N581" s="49"/>
      <c r="O581" s="49"/>
      <c r="P581" s="49"/>
      <c r="Q581" s="49"/>
    </row>
    <row r="582" ht="15.75" customHeight="1">
      <c r="I582" s="49"/>
      <c r="J582" s="49"/>
      <c r="K582" s="49"/>
      <c r="L582" s="49"/>
      <c r="M582" s="49"/>
      <c r="N582" s="49"/>
      <c r="O582" s="49"/>
      <c r="P582" s="49"/>
      <c r="Q582" s="49"/>
    </row>
    <row r="583" ht="15.75" customHeight="1">
      <c r="I583" s="49"/>
      <c r="J583" s="49"/>
      <c r="K583" s="49"/>
      <c r="L583" s="49"/>
      <c r="M583" s="49"/>
      <c r="N583" s="49"/>
      <c r="O583" s="49"/>
      <c r="P583" s="49"/>
      <c r="Q583" s="49"/>
    </row>
    <row r="584" ht="15.75" customHeight="1">
      <c r="I584" s="49"/>
      <c r="J584" s="49"/>
      <c r="K584" s="49"/>
      <c r="L584" s="49"/>
      <c r="M584" s="49"/>
      <c r="N584" s="49"/>
      <c r="O584" s="49"/>
      <c r="P584" s="49"/>
      <c r="Q584" s="49"/>
    </row>
    <row r="585" ht="15.75" customHeight="1">
      <c r="I585" s="49"/>
      <c r="J585" s="49"/>
      <c r="K585" s="49"/>
      <c r="L585" s="49"/>
      <c r="M585" s="49"/>
      <c r="N585" s="49"/>
      <c r="O585" s="49"/>
      <c r="P585" s="49"/>
      <c r="Q585" s="49"/>
    </row>
    <row r="586" ht="15.75" customHeight="1">
      <c r="I586" s="49"/>
      <c r="J586" s="49"/>
      <c r="K586" s="49"/>
      <c r="L586" s="49"/>
      <c r="M586" s="49"/>
      <c r="N586" s="49"/>
      <c r="O586" s="49"/>
      <c r="P586" s="49"/>
      <c r="Q586" s="49"/>
    </row>
    <row r="587" ht="15.75" customHeight="1">
      <c r="I587" s="49"/>
      <c r="J587" s="49"/>
      <c r="K587" s="49"/>
      <c r="L587" s="49"/>
      <c r="M587" s="49"/>
      <c r="N587" s="49"/>
      <c r="O587" s="49"/>
      <c r="P587" s="49"/>
      <c r="Q587" s="49"/>
    </row>
    <row r="588" ht="15.75" customHeight="1">
      <c r="I588" s="49"/>
      <c r="J588" s="49"/>
      <c r="K588" s="49"/>
      <c r="L588" s="49"/>
      <c r="M588" s="49"/>
      <c r="N588" s="49"/>
      <c r="O588" s="49"/>
      <c r="P588" s="49"/>
      <c r="Q588" s="49"/>
    </row>
    <row r="589" ht="15.75" customHeight="1">
      <c r="I589" s="49"/>
      <c r="J589" s="49"/>
      <c r="K589" s="49"/>
      <c r="L589" s="49"/>
      <c r="M589" s="49"/>
      <c r="N589" s="49"/>
      <c r="O589" s="49"/>
      <c r="P589" s="49"/>
      <c r="Q589" s="49"/>
    </row>
    <row r="590" ht="15.75" customHeight="1">
      <c r="I590" s="49"/>
      <c r="J590" s="49"/>
      <c r="K590" s="49"/>
      <c r="L590" s="49"/>
      <c r="M590" s="49"/>
      <c r="N590" s="49"/>
      <c r="O590" s="49"/>
      <c r="P590" s="49"/>
      <c r="Q590" s="49"/>
    </row>
    <row r="591" ht="15.75" customHeight="1">
      <c r="I591" s="49"/>
      <c r="J591" s="49"/>
      <c r="K591" s="49"/>
      <c r="L591" s="49"/>
      <c r="M591" s="49"/>
      <c r="N591" s="49"/>
      <c r="O591" s="49"/>
      <c r="P591" s="49"/>
      <c r="Q591" s="49"/>
    </row>
    <row r="592" ht="15.75" customHeight="1">
      <c r="I592" s="49"/>
      <c r="J592" s="49"/>
      <c r="K592" s="49"/>
      <c r="L592" s="49"/>
      <c r="M592" s="49"/>
      <c r="N592" s="49"/>
      <c r="O592" s="49"/>
      <c r="P592" s="49"/>
      <c r="Q592" s="49"/>
    </row>
    <row r="593" ht="15.75" customHeight="1">
      <c r="I593" s="49"/>
      <c r="J593" s="49"/>
      <c r="K593" s="49"/>
      <c r="L593" s="49"/>
      <c r="M593" s="49"/>
      <c r="N593" s="49"/>
      <c r="O593" s="49"/>
      <c r="P593" s="49"/>
      <c r="Q593" s="49"/>
    </row>
    <row r="594" ht="15.75" customHeight="1">
      <c r="I594" s="49"/>
      <c r="J594" s="49"/>
      <c r="K594" s="49"/>
      <c r="L594" s="49"/>
      <c r="M594" s="49"/>
      <c r="N594" s="49"/>
      <c r="O594" s="49"/>
      <c r="P594" s="49"/>
      <c r="Q594" s="49"/>
    </row>
    <row r="595" ht="15.75" customHeight="1">
      <c r="I595" s="49"/>
      <c r="J595" s="49"/>
      <c r="K595" s="49"/>
      <c r="L595" s="49"/>
      <c r="M595" s="49"/>
      <c r="N595" s="49"/>
      <c r="O595" s="49"/>
      <c r="P595" s="49"/>
      <c r="Q595" s="49"/>
    </row>
    <row r="596" ht="15.75" customHeight="1">
      <c r="I596" s="49"/>
      <c r="J596" s="49"/>
      <c r="K596" s="49"/>
      <c r="L596" s="49"/>
      <c r="M596" s="49"/>
      <c r="N596" s="49"/>
      <c r="O596" s="49"/>
      <c r="P596" s="49"/>
      <c r="Q596" s="49"/>
    </row>
    <row r="597" ht="15.75" customHeight="1">
      <c r="I597" s="49"/>
      <c r="J597" s="49"/>
      <c r="K597" s="49"/>
      <c r="L597" s="49"/>
      <c r="M597" s="49"/>
      <c r="N597" s="49"/>
      <c r="O597" s="49"/>
      <c r="P597" s="49"/>
      <c r="Q597" s="49"/>
    </row>
    <row r="598" ht="15.75" customHeight="1">
      <c r="I598" s="49"/>
      <c r="J598" s="49"/>
      <c r="K598" s="49"/>
      <c r="L598" s="49"/>
      <c r="M598" s="49"/>
      <c r="N598" s="49"/>
      <c r="O598" s="49"/>
      <c r="P598" s="49"/>
      <c r="Q598" s="49"/>
    </row>
    <row r="599" ht="15.75" customHeight="1">
      <c r="I599" s="49"/>
      <c r="J599" s="49"/>
      <c r="K599" s="49"/>
      <c r="L599" s="49"/>
      <c r="M599" s="49"/>
      <c r="N599" s="49"/>
      <c r="O599" s="49"/>
      <c r="P599" s="49"/>
      <c r="Q599" s="49"/>
    </row>
    <row r="600" ht="15.75" customHeight="1">
      <c r="I600" s="49"/>
      <c r="J600" s="49"/>
      <c r="K600" s="49"/>
      <c r="L600" s="49"/>
      <c r="M600" s="49"/>
      <c r="N600" s="49"/>
      <c r="O600" s="49"/>
      <c r="P600" s="49"/>
      <c r="Q600" s="49"/>
    </row>
    <row r="601" ht="15.75" customHeight="1">
      <c r="I601" s="49"/>
      <c r="J601" s="49"/>
      <c r="K601" s="49"/>
      <c r="L601" s="49"/>
      <c r="M601" s="49"/>
      <c r="N601" s="49"/>
      <c r="O601" s="49"/>
      <c r="P601" s="49"/>
      <c r="Q601" s="49"/>
    </row>
    <row r="602" ht="15.75" customHeight="1">
      <c r="I602" s="49"/>
      <c r="J602" s="49"/>
      <c r="K602" s="49"/>
      <c r="L602" s="49"/>
      <c r="M602" s="49"/>
      <c r="N602" s="49"/>
      <c r="O602" s="49"/>
      <c r="P602" s="49"/>
      <c r="Q602" s="49"/>
    </row>
    <row r="603" ht="15.75" customHeight="1">
      <c r="I603" s="49"/>
      <c r="J603" s="49"/>
      <c r="K603" s="49"/>
      <c r="L603" s="49"/>
      <c r="M603" s="49"/>
      <c r="N603" s="49"/>
      <c r="O603" s="49"/>
      <c r="P603" s="49"/>
      <c r="Q603" s="49"/>
    </row>
    <row r="604" ht="15.75" customHeight="1">
      <c r="I604" s="49"/>
      <c r="J604" s="49"/>
      <c r="K604" s="49"/>
      <c r="L604" s="49"/>
      <c r="M604" s="49"/>
      <c r="N604" s="49"/>
      <c r="O604" s="49"/>
      <c r="P604" s="49"/>
      <c r="Q604" s="49"/>
    </row>
    <row r="605" ht="15.75" customHeight="1">
      <c r="I605" s="49"/>
      <c r="J605" s="49"/>
      <c r="K605" s="49"/>
      <c r="L605" s="49"/>
      <c r="M605" s="49"/>
      <c r="N605" s="49"/>
      <c r="O605" s="49"/>
      <c r="P605" s="49"/>
      <c r="Q605" s="49"/>
    </row>
    <row r="606" ht="15.75" customHeight="1">
      <c r="I606" s="49"/>
      <c r="J606" s="49"/>
      <c r="K606" s="49"/>
      <c r="L606" s="49"/>
      <c r="M606" s="49"/>
      <c r="N606" s="49"/>
      <c r="O606" s="49"/>
      <c r="P606" s="49"/>
      <c r="Q606" s="49"/>
    </row>
    <row r="607" ht="15.75" customHeight="1">
      <c r="I607" s="49"/>
      <c r="J607" s="49"/>
      <c r="K607" s="49"/>
      <c r="L607" s="49"/>
      <c r="M607" s="49"/>
      <c r="N607" s="49"/>
      <c r="O607" s="49"/>
      <c r="P607" s="49"/>
      <c r="Q607" s="49"/>
    </row>
    <row r="608" ht="15.75" customHeight="1">
      <c r="I608" s="49"/>
      <c r="J608" s="49"/>
      <c r="K608" s="49"/>
      <c r="L608" s="49"/>
      <c r="M608" s="49"/>
      <c r="N608" s="49"/>
      <c r="O608" s="49"/>
      <c r="P608" s="49"/>
      <c r="Q608" s="49"/>
    </row>
    <row r="609" ht="15.75" customHeight="1">
      <c r="I609" s="49"/>
      <c r="J609" s="49"/>
      <c r="K609" s="49"/>
      <c r="L609" s="49"/>
      <c r="M609" s="49"/>
      <c r="N609" s="49"/>
      <c r="O609" s="49"/>
      <c r="P609" s="49"/>
      <c r="Q609" s="49"/>
    </row>
    <row r="610" ht="15.75" customHeight="1">
      <c r="I610" s="49"/>
      <c r="J610" s="49"/>
      <c r="K610" s="49"/>
      <c r="L610" s="49"/>
      <c r="M610" s="49"/>
      <c r="N610" s="49"/>
      <c r="O610" s="49"/>
      <c r="P610" s="49"/>
      <c r="Q610" s="49"/>
    </row>
    <row r="611" ht="15.75" customHeight="1">
      <c r="I611" s="49"/>
      <c r="J611" s="49"/>
      <c r="K611" s="49"/>
      <c r="L611" s="49"/>
      <c r="M611" s="49"/>
      <c r="N611" s="49"/>
      <c r="O611" s="49"/>
      <c r="P611" s="49"/>
      <c r="Q611" s="49"/>
    </row>
    <row r="612" ht="15.75" customHeight="1">
      <c r="I612" s="49"/>
      <c r="J612" s="49"/>
      <c r="K612" s="49"/>
      <c r="L612" s="49"/>
      <c r="M612" s="49"/>
      <c r="N612" s="49"/>
      <c r="O612" s="49"/>
      <c r="P612" s="49"/>
      <c r="Q612" s="49"/>
    </row>
    <row r="613" ht="15.75" customHeight="1">
      <c r="I613" s="49"/>
      <c r="J613" s="49"/>
      <c r="K613" s="49"/>
      <c r="L613" s="49"/>
      <c r="M613" s="49"/>
      <c r="N613" s="49"/>
      <c r="O613" s="49"/>
      <c r="P613" s="49"/>
      <c r="Q613" s="49"/>
    </row>
    <row r="614" ht="15.75" customHeight="1">
      <c r="I614" s="49"/>
      <c r="J614" s="49"/>
      <c r="K614" s="49"/>
      <c r="L614" s="49"/>
      <c r="M614" s="49"/>
      <c r="N614" s="49"/>
      <c r="O614" s="49"/>
      <c r="P614" s="49"/>
      <c r="Q614" s="49"/>
    </row>
    <row r="615" ht="15.75" customHeight="1">
      <c r="I615" s="49"/>
      <c r="J615" s="49"/>
      <c r="K615" s="49"/>
      <c r="L615" s="49"/>
      <c r="M615" s="49"/>
      <c r="N615" s="49"/>
      <c r="O615" s="49"/>
      <c r="P615" s="49"/>
      <c r="Q615" s="49"/>
    </row>
    <row r="616" ht="15.75" customHeight="1">
      <c r="I616" s="49"/>
      <c r="J616" s="49"/>
      <c r="K616" s="49"/>
      <c r="L616" s="49"/>
      <c r="M616" s="49"/>
      <c r="N616" s="49"/>
      <c r="O616" s="49"/>
      <c r="P616" s="49"/>
      <c r="Q616" s="49"/>
    </row>
    <row r="617" ht="15.75" customHeight="1">
      <c r="I617" s="49"/>
      <c r="J617" s="49"/>
      <c r="K617" s="49"/>
      <c r="L617" s="49"/>
      <c r="M617" s="49"/>
      <c r="N617" s="49"/>
      <c r="O617" s="49"/>
      <c r="P617" s="49"/>
      <c r="Q617" s="49"/>
    </row>
    <row r="618" ht="15.75" customHeight="1">
      <c r="I618" s="49"/>
      <c r="J618" s="49"/>
      <c r="K618" s="49"/>
      <c r="L618" s="49"/>
      <c r="M618" s="49"/>
      <c r="N618" s="49"/>
      <c r="O618" s="49"/>
      <c r="P618" s="49"/>
      <c r="Q618" s="49"/>
    </row>
    <row r="619" ht="15.75" customHeight="1">
      <c r="I619" s="49"/>
      <c r="J619" s="49"/>
      <c r="K619" s="49"/>
      <c r="L619" s="49"/>
      <c r="M619" s="49"/>
      <c r="N619" s="49"/>
      <c r="O619" s="49"/>
      <c r="P619" s="49"/>
      <c r="Q619" s="49"/>
    </row>
    <row r="620" ht="15.75" customHeight="1">
      <c r="I620" s="49"/>
      <c r="J620" s="49"/>
      <c r="K620" s="49"/>
      <c r="L620" s="49"/>
      <c r="M620" s="49"/>
      <c r="N620" s="49"/>
      <c r="O620" s="49"/>
      <c r="P620" s="49"/>
      <c r="Q620" s="49"/>
    </row>
    <row r="621" ht="15.75" customHeight="1">
      <c r="I621" s="49"/>
      <c r="J621" s="49"/>
      <c r="K621" s="49"/>
      <c r="L621" s="49"/>
      <c r="M621" s="49"/>
      <c r="N621" s="49"/>
      <c r="O621" s="49"/>
      <c r="P621" s="49"/>
      <c r="Q621" s="49"/>
    </row>
    <row r="622" ht="15.75" customHeight="1">
      <c r="I622" s="49"/>
      <c r="J622" s="49"/>
      <c r="K622" s="49"/>
      <c r="L622" s="49"/>
      <c r="M622" s="49"/>
      <c r="N622" s="49"/>
      <c r="O622" s="49"/>
      <c r="P622" s="49"/>
      <c r="Q622" s="49"/>
    </row>
    <row r="623" ht="15.75" customHeight="1">
      <c r="I623" s="49"/>
      <c r="J623" s="49"/>
      <c r="K623" s="49"/>
      <c r="L623" s="49"/>
      <c r="M623" s="49"/>
      <c r="N623" s="49"/>
      <c r="O623" s="49"/>
      <c r="P623" s="49"/>
      <c r="Q623" s="49"/>
    </row>
    <row r="624" ht="15.75" customHeight="1">
      <c r="I624" s="49"/>
      <c r="J624" s="49"/>
      <c r="K624" s="49"/>
      <c r="L624" s="49"/>
      <c r="M624" s="49"/>
      <c r="N624" s="49"/>
      <c r="O624" s="49"/>
      <c r="P624" s="49"/>
      <c r="Q624" s="49"/>
    </row>
    <row r="625" ht="15.75" customHeight="1">
      <c r="I625" s="49"/>
      <c r="J625" s="49"/>
      <c r="K625" s="49"/>
      <c r="L625" s="49"/>
      <c r="M625" s="49"/>
      <c r="N625" s="49"/>
      <c r="O625" s="49"/>
      <c r="P625" s="49"/>
      <c r="Q625" s="49"/>
    </row>
    <row r="626" ht="15.75" customHeight="1">
      <c r="I626" s="49"/>
      <c r="J626" s="49"/>
      <c r="K626" s="49"/>
      <c r="L626" s="49"/>
      <c r="M626" s="49"/>
      <c r="N626" s="49"/>
      <c r="O626" s="49"/>
      <c r="P626" s="49"/>
      <c r="Q626" s="49"/>
    </row>
    <row r="627" ht="15.75" customHeight="1">
      <c r="I627" s="49"/>
      <c r="J627" s="49"/>
      <c r="K627" s="49"/>
      <c r="L627" s="49"/>
      <c r="M627" s="49"/>
      <c r="N627" s="49"/>
      <c r="O627" s="49"/>
      <c r="P627" s="49"/>
      <c r="Q627" s="49"/>
    </row>
    <row r="628" ht="15.75" customHeight="1">
      <c r="I628" s="49"/>
      <c r="J628" s="49"/>
      <c r="K628" s="49"/>
      <c r="L628" s="49"/>
      <c r="M628" s="49"/>
      <c r="N628" s="49"/>
      <c r="O628" s="49"/>
      <c r="P628" s="49"/>
      <c r="Q628" s="49"/>
    </row>
    <row r="629" ht="15.75" customHeight="1">
      <c r="I629" s="49"/>
      <c r="J629" s="49"/>
      <c r="K629" s="49"/>
      <c r="L629" s="49"/>
      <c r="M629" s="49"/>
      <c r="N629" s="49"/>
      <c r="O629" s="49"/>
      <c r="P629" s="49"/>
      <c r="Q629" s="49"/>
    </row>
    <row r="630" ht="15.75" customHeight="1">
      <c r="I630" s="49"/>
      <c r="J630" s="49"/>
      <c r="K630" s="49"/>
      <c r="L630" s="49"/>
      <c r="M630" s="49"/>
      <c r="N630" s="49"/>
      <c r="O630" s="49"/>
      <c r="P630" s="49"/>
      <c r="Q630" s="49"/>
    </row>
    <row r="631" ht="15.75" customHeight="1">
      <c r="I631" s="49"/>
      <c r="J631" s="49"/>
      <c r="K631" s="49"/>
      <c r="L631" s="49"/>
      <c r="M631" s="49"/>
      <c r="N631" s="49"/>
      <c r="O631" s="49"/>
      <c r="P631" s="49"/>
      <c r="Q631" s="49"/>
    </row>
    <row r="632" ht="15.75" customHeight="1">
      <c r="I632" s="49"/>
      <c r="J632" s="49"/>
      <c r="K632" s="49"/>
      <c r="L632" s="49"/>
      <c r="M632" s="49"/>
      <c r="N632" s="49"/>
      <c r="O632" s="49"/>
      <c r="P632" s="49"/>
      <c r="Q632" s="49"/>
    </row>
    <row r="633" ht="15.75" customHeight="1">
      <c r="I633" s="49"/>
      <c r="J633" s="49"/>
      <c r="K633" s="49"/>
      <c r="L633" s="49"/>
      <c r="M633" s="49"/>
      <c r="N633" s="49"/>
      <c r="O633" s="49"/>
      <c r="P633" s="49"/>
      <c r="Q633" s="49"/>
    </row>
    <row r="634" ht="15.75" customHeight="1">
      <c r="I634" s="49"/>
      <c r="J634" s="49"/>
      <c r="K634" s="49"/>
      <c r="L634" s="49"/>
      <c r="M634" s="49"/>
      <c r="N634" s="49"/>
      <c r="O634" s="49"/>
      <c r="P634" s="49"/>
      <c r="Q634" s="49"/>
    </row>
    <row r="635" ht="15.75" customHeight="1">
      <c r="I635" s="49"/>
      <c r="J635" s="49"/>
      <c r="K635" s="49"/>
      <c r="L635" s="49"/>
      <c r="M635" s="49"/>
      <c r="N635" s="49"/>
      <c r="O635" s="49"/>
      <c r="P635" s="49"/>
      <c r="Q635" s="49"/>
    </row>
    <row r="636" ht="15.75" customHeight="1">
      <c r="I636" s="49"/>
      <c r="J636" s="49"/>
      <c r="K636" s="49"/>
      <c r="L636" s="49"/>
      <c r="M636" s="49"/>
      <c r="N636" s="49"/>
      <c r="O636" s="49"/>
      <c r="P636" s="49"/>
      <c r="Q636" s="49"/>
    </row>
    <row r="637" ht="15.75" customHeight="1">
      <c r="I637" s="49"/>
      <c r="J637" s="49"/>
      <c r="K637" s="49"/>
      <c r="L637" s="49"/>
      <c r="M637" s="49"/>
      <c r="N637" s="49"/>
      <c r="O637" s="49"/>
      <c r="P637" s="49"/>
      <c r="Q637" s="49"/>
    </row>
    <row r="638" ht="15.75" customHeight="1">
      <c r="I638" s="49"/>
      <c r="J638" s="49"/>
      <c r="K638" s="49"/>
      <c r="L638" s="49"/>
      <c r="M638" s="49"/>
      <c r="N638" s="49"/>
      <c r="O638" s="49"/>
      <c r="P638" s="49"/>
      <c r="Q638" s="49"/>
    </row>
    <row r="639" ht="15.75" customHeight="1">
      <c r="I639" s="49"/>
      <c r="J639" s="49"/>
      <c r="K639" s="49"/>
      <c r="L639" s="49"/>
      <c r="M639" s="49"/>
      <c r="N639" s="49"/>
      <c r="O639" s="49"/>
      <c r="P639" s="49"/>
      <c r="Q639" s="49"/>
    </row>
    <row r="640" ht="15.75" customHeight="1">
      <c r="I640" s="49"/>
      <c r="J640" s="49"/>
      <c r="K640" s="49"/>
      <c r="L640" s="49"/>
      <c r="M640" s="49"/>
      <c r="N640" s="49"/>
      <c r="O640" s="49"/>
      <c r="P640" s="49"/>
      <c r="Q640" s="49"/>
    </row>
    <row r="641" ht="15.75" customHeight="1">
      <c r="I641" s="49"/>
      <c r="J641" s="49"/>
      <c r="K641" s="49"/>
      <c r="L641" s="49"/>
      <c r="M641" s="49"/>
      <c r="N641" s="49"/>
      <c r="O641" s="49"/>
      <c r="P641" s="49"/>
      <c r="Q641" s="49"/>
    </row>
    <row r="642" ht="15.75" customHeight="1">
      <c r="I642" s="49"/>
      <c r="J642" s="49"/>
      <c r="K642" s="49"/>
      <c r="L642" s="49"/>
      <c r="M642" s="49"/>
      <c r="N642" s="49"/>
      <c r="O642" s="49"/>
      <c r="P642" s="49"/>
      <c r="Q642" s="49"/>
    </row>
    <row r="643" ht="15.75" customHeight="1">
      <c r="I643" s="49"/>
      <c r="J643" s="49"/>
      <c r="K643" s="49"/>
      <c r="L643" s="49"/>
      <c r="M643" s="49"/>
      <c r="N643" s="49"/>
      <c r="O643" s="49"/>
      <c r="P643" s="49"/>
      <c r="Q643" s="49"/>
    </row>
    <row r="644" ht="15.75" customHeight="1">
      <c r="I644" s="49"/>
      <c r="J644" s="49"/>
      <c r="K644" s="49"/>
      <c r="L644" s="49"/>
      <c r="M644" s="49"/>
      <c r="N644" s="49"/>
      <c r="O644" s="49"/>
      <c r="P644" s="49"/>
      <c r="Q644" s="49"/>
    </row>
    <row r="645" ht="15.75" customHeight="1">
      <c r="I645" s="49"/>
      <c r="J645" s="49"/>
      <c r="K645" s="49"/>
      <c r="L645" s="49"/>
      <c r="M645" s="49"/>
      <c r="N645" s="49"/>
      <c r="O645" s="49"/>
      <c r="P645" s="49"/>
      <c r="Q645" s="49"/>
    </row>
    <row r="646" ht="15.75" customHeight="1">
      <c r="I646" s="49"/>
      <c r="J646" s="49"/>
      <c r="K646" s="49"/>
      <c r="L646" s="49"/>
      <c r="M646" s="49"/>
      <c r="N646" s="49"/>
      <c r="O646" s="49"/>
      <c r="P646" s="49"/>
      <c r="Q646" s="49"/>
    </row>
    <row r="647" ht="15.75" customHeight="1">
      <c r="I647" s="49"/>
      <c r="J647" s="49"/>
      <c r="K647" s="49"/>
      <c r="L647" s="49"/>
      <c r="M647" s="49"/>
      <c r="N647" s="49"/>
      <c r="O647" s="49"/>
      <c r="P647" s="49"/>
      <c r="Q647" s="49"/>
    </row>
    <row r="648" ht="15.75" customHeight="1">
      <c r="I648" s="49"/>
      <c r="J648" s="49"/>
      <c r="K648" s="49"/>
      <c r="L648" s="49"/>
      <c r="M648" s="49"/>
      <c r="N648" s="49"/>
      <c r="O648" s="49"/>
      <c r="P648" s="49"/>
      <c r="Q648" s="49"/>
    </row>
    <row r="649" ht="15.75" customHeight="1">
      <c r="I649" s="49"/>
      <c r="J649" s="49"/>
      <c r="K649" s="49"/>
      <c r="L649" s="49"/>
      <c r="M649" s="49"/>
      <c r="N649" s="49"/>
      <c r="O649" s="49"/>
      <c r="P649" s="49"/>
      <c r="Q649" s="49"/>
    </row>
    <row r="650" ht="15.75" customHeight="1">
      <c r="I650" s="49"/>
      <c r="J650" s="49"/>
      <c r="K650" s="49"/>
      <c r="L650" s="49"/>
      <c r="M650" s="49"/>
      <c r="N650" s="49"/>
      <c r="O650" s="49"/>
      <c r="P650" s="49"/>
      <c r="Q650" s="49"/>
    </row>
    <row r="651" ht="15.75" customHeight="1">
      <c r="I651" s="49"/>
      <c r="J651" s="49"/>
      <c r="K651" s="49"/>
      <c r="L651" s="49"/>
      <c r="M651" s="49"/>
      <c r="N651" s="49"/>
      <c r="O651" s="49"/>
      <c r="P651" s="49"/>
      <c r="Q651" s="49"/>
    </row>
    <row r="652" ht="15.75" customHeight="1">
      <c r="I652" s="49"/>
      <c r="J652" s="49"/>
      <c r="K652" s="49"/>
      <c r="L652" s="49"/>
      <c r="M652" s="49"/>
      <c r="N652" s="49"/>
      <c r="O652" s="49"/>
      <c r="P652" s="49"/>
      <c r="Q652" s="49"/>
    </row>
    <row r="653" ht="15.75" customHeight="1">
      <c r="I653" s="49"/>
      <c r="J653" s="49"/>
      <c r="K653" s="49"/>
      <c r="L653" s="49"/>
      <c r="M653" s="49"/>
      <c r="N653" s="49"/>
      <c r="O653" s="49"/>
      <c r="P653" s="49"/>
      <c r="Q653" s="49"/>
    </row>
    <row r="654" ht="15.75" customHeight="1">
      <c r="I654" s="49"/>
      <c r="J654" s="49"/>
      <c r="K654" s="49"/>
      <c r="L654" s="49"/>
      <c r="M654" s="49"/>
      <c r="N654" s="49"/>
      <c r="O654" s="49"/>
      <c r="P654" s="49"/>
      <c r="Q654" s="49"/>
    </row>
    <row r="655" ht="15.75" customHeight="1">
      <c r="I655" s="49"/>
      <c r="J655" s="49"/>
      <c r="K655" s="49"/>
      <c r="L655" s="49"/>
      <c r="M655" s="49"/>
      <c r="N655" s="49"/>
      <c r="O655" s="49"/>
      <c r="P655" s="49"/>
      <c r="Q655" s="49"/>
    </row>
    <row r="656" ht="15.75" customHeight="1">
      <c r="I656" s="49"/>
      <c r="J656" s="49"/>
      <c r="K656" s="49"/>
      <c r="L656" s="49"/>
      <c r="M656" s="49"/>
      <c r="N656" s="49"/>
      <c r="O656" s="49"/>
      <c r="P656" s="49"/>
      <c r="Q656" s="49"/>
    </row>
    <row r="657" ht="15.75" customHeight="1">
      <c r="I657" s="49"/>
      <c r="J657" s="49"/>
      <c r="K657" s="49"/>
      <c r="L657" s="49"/>
      <c r="M657" s="49"/>
      <c r="N657" s="49"/>
      <c r="O657" s="49"/>
      <c r="P657" s="49"/>
      <c r="Q657" s="49"/>
    </row>
    <row r="658" ht="15.75" customHeight="1">
      <c r="I658" s="49"/>
      <c r="J658" s="49"/>
      <c r="K658" s="49"/>
      <c r="L658" s="49"/>
      <c r="M658" s="49"/>
      <c r="N658" s="49"/>
      <c r="O658" s="49"/>
      <c r="P658" s="49"/>
      <c r="Q658" s="49"/>
    </row>
    <row r="659" ht="15.75" customHeight="1">
      <c r="I659" s="49"/>
      <c r="J659" s="49"/>
      <c r="K659" s="49"/>
      <c r="L659" s="49"/>
      <c r="M659" s="49"/>
      <c r="N659" s="49"/>
      <c r="O659" s="49"/>
      <c r="P659" s="49"/>
      <c r="Q659" s="49"/>
    </row>
    <row r="660" ht="15.75" customHeight="1">
      <c r="I660" s="49"/>
      <c r="J660" s="49"/>
      <c r="K660" s="49"/>
      <c r="L660" s="49"/>
      <c r="M660" s="49"/>
      <c r="N660" s="49"/>
      <c r="O660" s="49"/>
      <c r="P660" s="49"/>
      <c r="Q660" s="49"/>
    </row>
    <row r="661" ht="15.75" customHeight="1">
      <c r="I661" s="49"/>
      <c r="J661" s="49"/>
      <c r="K661" s="49"/>
      <c r="L661" s="49"/>
      <c r="M661" s="49"/>
      <c r="N661" s="49"/>
      <c r="O661" s="49"/>
      <c r="P661" s="49"/>
      <c r="Q661" s="49"/>
    </row>
    <row r="662" ht="15.75" customHeight="1">
      <c r="I662" s="49"/>
      <c r="J662" s="49"/>
      <c r="K662" s="49"/>
      <c r="L662" s="49"/>
      <c r="M662" s="49"/>
      <c r="N662" s="49"/>
      <c r="O662" s="49"/>
      <c r="P662" s="49"/>
      <c r="Q662" s="49"/>
    </row>
    <row r="663" ht="15.75" customHeight="1">
      <c r="I663" s="49"/>
      <c r="J663" s="49"/>
      <c r="K663" s="49"/>
      <c r="L663" s="49"/>
      <c r="M663" s="49"/>
      <c r="N663" s="49"/>
      <c r="O663" s="49"/>
      <c r="P663" s="49"/>
      <c r="Q663" s="49"/>
    </row>
    <row r="664" ht="15.75" customHeight="1">
      <c r="I664" s="49"/>
      <c r="J664" s="49"/>
      <c r="K664" s="49"/>
      <c r="L664" s="49"/>
      <c r="M664" s="49"/>
      <c r="N664" s="49"/>
      <c r="O664" s="49"/>
      <c r="P664" s="49"/>
      <c r="Q664" s="49"/>
    </row>
    <row r="665" ht="15.75" customHeight="1">
      <c r="I665" s="49"/>
      <c r="J665" s="49"/>
      <c r="K665" s="49"/>
      <c r="L665" s="49"/>
      <c r="M665" s="49"/>
      <c r="N665" s="49"/>
      <c r="O665" s="49"/>
      <c r="P665" s="49"/>
      <c r="Q665" s="49"/>
    </row>
    <row r="666" ht="15.75" customHeight="1">
      <c r="I666" s="49"/>
      <c r="J666" s="49"/>
      <c r="K666" s="49"/>
      <c r="L666" s="49"/>
      <c r="M666" s="49"/>
      <c r="N666" s="49"/>
      <c r="O666" s="49"/>
      <c r="P666" s="49"/>
      <c r="Q666" s="49"/>
    </row>
    <row r="667" ht="15.75" customHeight="1">
      <c r="I667" s="49"/>
      <c r="J667" s="49"/>
      <c r="K667" s="49"/>
      <c r="L667" s="49"/>
      <c r="M667" s="49"/>
      <c r="N667" s="49"/>
      <c r="O667" s="49"/>
      <c r="P667" s="49"/>
      <c r="Q667" s="49"/>
    </row>
    <row r="668" ht="15.75" customHeight="1">
      <c r="I668" s="49"/>
      <c r="J668" s="49"/>
      <c r="K668" s="49"/>
      <c r="L668" s="49"/>
      <c r="M668" s="49"/>
      <c r="N668" s="49"/>
      <c r="O668" s="49"/>
      <c r="P668" s="49"/>
      <c r="Q668" s="49"/>
    </row>
    <row r="669" ht="15.75" customHeight="1">
      <c r="I669" s="49"/>
      <c r="J669" s="49"/>
      <c r="K669" s="49"/>
      <c r="L669" s="49"/>
      <c r="M669" s="49"/>
      <c r="N669" s="49"/>
      <c r="O669" s="49"/>
      <c r="P669" s="49"/>
      <c r="Q669" s="49"/>
    </row>
    <row r="670" ht="15.75" customHeight="1">
      <c r="I670" s="49"/>
      <c r="J670" s="49"/>
      <c r="K670" s="49"/>
      <c r="L670" s="49"/>
      <c r="M670" s="49"/>
      <c r="N670" s="49"/>
      <c r="O670" s="49"/>
      <c r="P670" s="49"/>
      <c r="Q670" s="49"/>
    </row>
    <row r="671" ht="15.75" customHeight="1">
      <c r="I671" s="49"/>
      <c r="J671" s="49"/>
      <c r="K671" s="49"/>
      <c r="L671" s="49"/>
      <c r="M671" s="49"/>
      <c r="N671" s="49"/>
      <c r="O671" s="49"/>
      <c r="P671" s="49"/>
      <c r="Q671" s="49"/>
    </row>
    <row r="672" ht="15.75" customHeight="1">
      <c r="I672" s="49"/>
      <c r="J672" s="49"/>
      <c r="K672" s="49"/>
      <c r="L672" s="49"/>
      <c r="M672" s="49"/>
      <c r="N672" s="49"/>
      <c r="O672" s="49"/>
      <c r="P672" s="49"/>
      <c r="Q672" s="49"/>
    </row>
    <row r="673" ht="15.75" customHeight="1">
      <c r="I673" s="49"/>
      <c r="J673" s="49"/>
      <c r="K673" s="49"/>
      <c r="L673" s="49"/>
      <c r="M673" s="49"/>
      <c r="N673" s="49"/>
      <c r="O673" s="49"/>
      <c r="P673" s="49"/>
      <c r="Q673" s="49"/>
    </row>
    <row r="674" ht="15.75" customHeight="1">
      <c r="I674" s="49"/>
      <c r="J674" s="49"/>
      <c r="K674" s="49"/>
      <c r="L674" s="49"/>
      <c r="M674" s="49"/>
      <c r="N674" s="49"/>
      <c r="O674" s="49"/>
      <c r="P674" s="49"/>
      <c r="Q674" s="49"/>
    </row>
    <row r="675" ht="15.75" customHeight="1">
      <c r="I675" s="49"/>
      <c r="J675" s="49"/>
      <c r="K675" s="49"/>
      <c r="L675" s="49"/>
      <c r="M675" s="49"/>
      <c r="N675" s="49"/>
      <c r="O675" s="49"/>
      <c r="P675" s="49"/>
      <c r="Q675" s="49"/>
    </row>
    <row r="676" ht="15.75" customHeight="1">
      <c r="I676" s="49"/>
      <c r="J676" s="49"/>
      <c r="K676" s="49"/>
      <c r="L676" s="49"/>
      <c r="M676" s="49"/>
      <c r="N676" s="49"/>
      <c r="O676" s="49"/>
      <c r="P676" s="49"/>
      <c r="Q676" s="49"/>
    </row>
    <row r="677" ht="15.75" customHeight="1">
      <c r="I677" s="49"/>
      <c r="J677" s="49"/>
      <c r="K677" s="49"/>
      <c r="L677" s="49"/>
      <c r="M677" s="49"/>
      <c r="N677" s="49"/>
      <c r="O677" s="49"/>
      <c r="P677" s="49"/>
      <c r="Q677" s="49"/>
    </row>
    <row r="678" ht="15.75" customHeight="1">
      <c r="I678" s="49"/>
      <c r="J678" s="49"/>
      <c r="K678" s="49"/>
      <c r="L678" s="49"/>
      <c r="M678" s="49"/>
      <c r="N678" s="49"/>
      <c r="O678" s="49"/>
      <c r="P678" s="49"/>
      <c r="Q678" s="49"/>
    </row>
    <row r="679" ht="15.75" customHeight="1">
      <c r="I679" s="49"/>
      <c r="J679" s="49"/>
      <c r="K679" s="49"/>
      <c r="L679" s="49"/>
      <c r="M679" s="49"/>
      <c r="N679" s="49"/>
      <c r="O679" s="49"/>
      <c r="P679" s="49"/>
      <c r="Q679" s="49"/>
    </row>
    <row r="680" ht="15.75" customHeight="1">
      <c r="I680" s="49"/>
      <c r="J680" s="49"/>
      <c r="K680" s="49"/>
      <c r="L680" s="49"/>
      <c r="M680" s="49"/>
      <c r="N680" s="49"/>
      <c r="O680" s="49"/>
      <c r="P680" s="49"/>
      <c r="Q680" s="49"/>
    </row>
    <row r="681" ht="15.75" customHeight="1">
      <c r="I681" s="49"/>
      <c r="J681" s="49"/>
      <c r="K681" s="49"/>
      <c r="L681" s="49"/>
      <c r="M681" s="49"/>
      <c r="N681" s="49"/>
      <c r="O681" s="49"/>
      <c r="P681" s="49"/>
      <c r="Q681" s="49"/>
    </row>
    <row r="682" ht="15.75" customHeight="1">
      <c r="I682" s="49"/>
      <c r="J682" s="49"/>
      <c r="K682" s="49"/>
      <c r="L682" s="49"/>
      <c r="M682" s="49"/>
      <c r="N682" s="49"/>
      <c r="O682" s="49"/>
      <c r="P682" s="49"/>
      <c r="Q682" s="49"/>
    </row>
    <row r="683" ht="15.75" customHeight="1">
      <c r="I683" s="49"/>
      <c r="J683" s="49"/>
      <c r="K683" s="49"/>
      <c r="L683" s="49"/>
      <c r="M683" s="49"/>
      <c r="N683" s="49"/>
      <c r="O683" s="49"/>
      <c r="P683" s="49"/>
      <c r="Q683" s="49"/>
    </row>
    <row r="684" ht="15.75" customHeight="1">
      <c r="I684" s="49"/>
      <c r="J684" s="49"/>
      <c r="K684" s="49"/>
      <c r="L684" s="49"/>
      <c r="M684" s="49"/>
      <c r="N684" s="49"/>
      <c r="O684" s="49"/>
      <c r="P684" s="49"/>
      <c r="Q684" s="49"/>
    </row>
    <row r="685" ht="15.75" customHeight="1">
      <c r="I685" s="49"/>
      <c r="J685" s="49"/>
      <c r="K685" s="49"/>
      <c r="L685" s="49"/>
      <c r="M685" s="49"/>
      <c r="N685" s="49"/>
      <c r="O685" s="49"/>
      <c r="P685" s="49"/>
      <c r="Q685" s="49"/>
    </row>
    <row r="686" ht="15.75" customHeight="1">
      <c r="I686" s="49"/>
      <c r="J686" s="49"/>
      <c r="K686" s="49"/>
      <c r="L686" s="49"/>
      <c r="M686" s="49"/>
      <c r="N686" s="49"/>
      <c r="O686" s="49"/>
      <c r="P686" s="49"/>
      <c r="Q686" s="49"/>
    </row>
    <row r="687" ht="15.75" customHeight="1">
      <c r="I687" s="49"/>
      <c r="J687" s="49"/>
      <c r="K687" s="49"/>
      <c r="L687" s="49"/>
      <c r="M687" s="49"/>
      <c r="N687" s="49"/>
      <c r="O687" s="49"/>
      <c r="P687" s="49"/>
      <c r="Q687" s="49"/>
    </row>
    <row r="688" ht="15.75" customHeight="1">
      <c r="I688" s="49"/>
      <c r="J688" s="49"/>
      <c r="K688" s="49"/>
      <c r="L688" s="49"/>
      <c r="M688" s="49"/>
      <c r="N688" s="49"/>
      <c r="O688" s="49"/>
      <c r="P688" s="49"/>
      <c r="Q688" s="49"/>
    </row>
    <row r="689" ht="15.75" customHeight="1">
      <c r="I689" s="49"/>
      <c r="J689" s="49"/>
      <c r="K689" s="49"/>
      <c r="L689" s="49"/>
      <c r="M689" s="49"/>
      <c r="N689" s="49"/>
      <c r="O689" s="49"/>
      <c r="P689" s="49"/>
      <c r="Q689" s="49"/>
    </row>
    <row r="690" ht="15.75" customHeight="1">
      <c r="I690" s="49"/>
      <c r="J690" s="49"/>
      <c r="K690" s="49"/>
      <c r="L690" s="49"/>
      <c r="M690" s="49"/>
      <c r="N690" s="49"/>
      <c r="O690" s="49"/>
      <c r="P690" s="49"/>
      <c r="Q690" s="49"/>
    </row>
    <row r="691" ht="15.75" customHeight="1">
      <c r="I691" s="49"/>
      <c r="J691" s="49"/>
      <c r="K691" s="49"/>
      <c r="L691" s="49"/>
      <c r="M691" s="49"/>
      <c r="N691" s="49"/>
      <c r="O691" s="49"/>
      <c r="P691" s="49"/>
      <c r="Q691" s="49"/>
    </row>
    <row r="692" ht="15.75" customHeight="1">
      <c r="I692" s="49"/>
      <c r="J692" s="49"/>
      <c r="K692" s="49"/>
      <c r="L692" s="49"/>
      <c r="M692" s="49"/>
      <c r="N692" s="49"/>
      <c r="O692" s="49"/>
      <c r="P692" s="49"/>
      <c r="Q692" s="49"/>
    </row>
    <row r="693" ht="15.75" customHeight="1">
      <c r="I693" s="49"/>
      <c r="J693" s="49"/>
      <c r="K693" s="49"/>
      <c r="L693" s="49"/>
      <c r="M693" s="49"/>
      <c r="N693" s="49"/>
      <c r="O693" s="49"/>
      <c r="P693" s="49"/>
      <c r="Q693" s="49"/>
    </row>
    <row r="694" ht="15.75" customHeight="1">
      <c r="I694" s="49"/>
      <c r="J694" s="49"/>
      <c r="K694" s="49"/>
      <c r="L694" s="49"/>
      <c r="M694" s="49"/>
      <c r="N694" s="49"/>
      <c r="O694" s="49"/>
      <c r="P694" s="49"/>
      <c r="Q694" s="49"/>
    </row>
    <row r="695" ht="15.75" customHeight="1">
      <c r="I695" s="49"/>
      <c r="J695" s="49"/>
      <c r="K695" s="49"/>
      <c r="L695" s="49"/>
      <c r="M695" s="49"/>
      <c r="N695" s="49"/>
      <c r="O695" s="49"/>
      <c r="P695" s="49"/>
      <c r="Q695" s="49"/>
    </row>
    <row r="696" ht="15.75" customHeight="1">
      <c r="I696" s="49"/>
      <c r="J696" s="49"/>
      <c r="K696" s="49"/>
      <c r="L696" s="49"/>
      <c r="M696" s="49"/>
      <c r="N696" s="49"/>
      <c r="O696" s="49"/>
      <c r="P696" s="49"/>
      <c r="Q696" s="49"/>
    </row>
    <row r="697" ht="15.75" customHeight="1">
      <c r="I697" s="49"/>
      <c r="J697" s="49"/>
      <c r="K697" s="49"/>
      <c r="L697" s="49"/>
      <c r="M697" s="49"/>
      <c r="N697" s="49"/>
      <c r="O697" s="49"/>
      <c r="P697" s="49"/>
      <c r="Q697" s="49"/>
    </row>
    <row r="698" ht="15.75" customHeight="1">
      <c r="I698" s="49"/>
      <c r="J698" s="49"/>
      <c r="K698" s="49"/>
      <c r="L698" s="49"/>
      <c r="M698" s="49"/>
      <c r="N698" s="49"/>
      <c r="O698" s="49"/>
      <c r="P698" s="49"/>
      <c r="Q698" s="49"/>
    </row>
    <row r="699" ht="15.75" customHeight="1">
      <c r="I699" s="49"/>
      <c r="J699" s="49"/>
      <c r="K699" s="49"/>
      <c r="L699" s="49"/>
      <c r="M699" s="49"/>
      <c r="N699" s="49"/>
      <c r="O699" s="49"/>
      <c r="P699" s="49"/>
      <c r="Q699" s="49"/>
    </row>
    <row r="700" ht="15.75" customHeight="1">
      <c r="I700" s="49"/>
      <c r="J700" s="49"/>
      <c r="K700" s="49"/>
      <c r="L700" s="49"/>
      <c r="M700" s="49"/>
      <c r="N700" s="49"/>
      <c r="O700" s="49"/>
      <c r="P700" s="49"/>
      <c r="Q700" s="49"/>
    </row>
    <row r="701" ht="15.75" customHeight="1">
      <c r="I701" s="49"/>
      <c r="J701" s="49"/>
      <c r="K701" s="49"/>
      <c r="L701" s="49"/>
      <c r="M701" s="49"/>
      <c r="N701" s="49"/>
      <c r="O701" s="49"/>
      <c r="P701" s="49"/>
      <c r="Q701" s="49"/>
    </row>
    <row r="702" ht="15.75" customHeight="1">
      <c r="I702" s="49"/>
      <c r="J702" s="49"/>
      <c r="K702" s="49"/>
      <c r="L702" s="49"/>
      <c r="M702" s="49"/>
      <c r="N702" s="49"/>
      <c r="O702" s="49"/>
      <c r="P702" s="49"/>
      <c r="Q702" s="49"/>
    </row>
    <row r="703" ht="15.75" customHeight="1">
      <c r="I703" s="49"/>
      <c r="J703" s="49"/>
      <c r="K703" s="49"/>
      <c r="L703" s="49"/>
      <c r="M703" s="49"/>
      <c r="N703" s="49"/>
      <c r="O703" s="49"/>
      <c r="P703" s="49"/>
      <c r="Q703" s="49"/>
    </row>
    <row r="704" ht="15.75" customHeight="1">
      <c r="I704" s="49"/>
      <c r="J704" s="49"/>
      <c r="K704" s="49"/>
      <c r="L704" s="49"/>
      <c r="M704" s="49"/>
      <c r="N704" s="49"/>
      <c r="O704" s="49"/>
      <c r="P704" s="49"/>
      <c r="Q704" s="49"/>
    </row>
    <row r="705" ht="15.75" customHeight="1">
      <c r="I705" s="49"/>
      <c r="J705" s="49"/>
      <c r="K705" s="49"/>
      <c r="L705" s="49"/>
      <c r="M705" s="49"/>
      <c r="N705" s="49"/>
      <c r="O705" s="49"/>
      <c r="P705" s="49"/>
      <c r="Q705" s="49"/>
    </row>
    <row r="706" ht="15.75" customHeight="1">
      <c r="I706" s="49"/>
      <c r="J706" s="49"/>
      <c r="K706" s="49"/>
      <c r="L706" s="49"/>
      <c r="M706" s="49"/>
      <c r="N706" s="49"/>
      <c r="O706" s="49"/>
      <c r="P706" s="49"/>
      <c r="Q706" s="49"/>
    </row>
    <row r="707" ht="15.75" customHeight="1">
      <c r="I707" s="49"/>
      <c r="J707" s="49"/>
      <c r="K707" s="49"/>
      <c r="L707" s="49"/>
      <c r="M707" s="49"/>
      <c r="N707" s="49"/>
      <c r="O707" s="49"/>
      <c r="P707" s="49"/>
      <c r="Q707" s="49"/>
    </row>
    <row r="708" ht="15.75" customHeight="1">
      <c r="I708" s="49"/>
      <c r="J708" s="49"/>
      <c r="K708" s="49"/>
      <c r="L708" s="49"/>
      <c r="M708" s="49"/>
      <c r="N708" s="49"/>
      <c r="O708" s="49"/>
      <c r="P708" s="49"/>
      <c r="Q708" s="49"/>
    </row>
    <row r="709" ht="15.75" customHeight="1">
      <c r="I709" s="49"/>
      <c r="J709" s="49"/>
      <c r="K709" s="49"/>
      <c r="L709" s="49"/>
      <c r="M709" s="49"/>
      <c r="N709" s="49"/>
      <c r="O709" s="49"/>
      <c r="P709" s="49"/>
      <c r="Q709" s="49"/>
    </row>
    <row r="710" ht="15.75" customHeight="1">
      <c r="I710" s="49"/>
      <c r="J710" s="49"/>
      <c r="K710" s="49"/>
      <c r="L710" s="49"/>
      <c r="M710" s="49"/>
      <c r="N710" s="49"/>
      <c r="O710" s="49"/>
      <c r="P710" s="49"/>
      <c r="Q710" s="49"/>
    </row>
    <row r="711" ht="15.75" customHeight="1">
      <c r="I711" s="49"/>
      <c r="J711" s="49"/>
      <c r="K711" s="49"/>
      <c r="L711" s="49"/>
      <c r="M711" s="49"/>
      <c r="N711" s="49"/>
      <c r="O711" s="49"/>
      <c r="P711" s="49"/>
      <c r="Q711" s="49"/>
    </row>
    <row r="712" ht="15.75" customHeight="1">
      <c r="I712" s="49"/>
      <c r="J712" s="49"/>
      <c r="K712" s="49"/>
      <c r="L712" s="49"/>
      <c r="M712" s="49"/>
      <c r="N712" s="49"/>
      <c r="O712" s="49"/>
      <c r="P712" s="49"/>
      <c r="Q712" s="49"/>
    </row>
    <row r="713" ht="15.75" customHeight="1">
      <c r="I713" s="49"/>
      <c r="J713" s="49"/>
      <c r="K713" s="49"/>
      <c r="L713" s="49"/>
      <c r="M713" s="49"/>
      <c r="N713" s="49"/>
      <c r="O713" s="49"/>
      <c r="P713" s="49"/>
      <c r="Q713" s="49"/>
    </row>
    <row r="714" ht="15.75" customHeight="1">
      <c r="I714" s="49"/>
      <c r="J714" s="49"/>
      <c r="K714" s="49"/>
      <c r="L714" s="49"/>
      <c r="M714" s="49"/>
      <c r="N714" s="49"/>
      <c r="O714" s="49"/>
      <c r="P714" s="49"/>
      <c r="Q714" s="49"/>
    </row>
    <row r="715" ht="15.75" customHeight="1">
      <c r="I715" s="49"/>
      <c r="J715" s="49"/>
      <c r="K715" s="49"/>
      <c r="L715" s="49"/>
      <c r="M715" s="49"/>
      <c r="N715" s="49"/>
      <c r="O715" s="49"/>
      <c r="P715" s="49"/>
      <c r="Q715" s="49"/>
    </row>
    <row r="716" ht="15.75" customHeight="1">
      <c r="I716" s="49"/>
      <c r="J716" s="49"/>
      <c r="K716" s="49"/>
      <c r="L716" s="49"/>
      <c r="M716" s="49"/>
      <c r="N716" s="49"/>
      <c r="O716" s="49"/>
      <c r="P716" s="49"/>
      <c r="Q716" s="49"/>
    </row>
    <row r="717" ht="15.75" customHeight="1">
      <c r="I717" s="49"/>
      <c r="J717" s="49"/>
      <c r="K717" s="49"/>
      <c r="L717" s="49"/>
      <c r="M717" s="49"/>
      <c r="N717" s="49"/>
      <c r="O717" s="49"/>
      <c r="P717" s="49"/>
      <c r="Q717" s="49"/>
    </row>
    <row r="718" ht="15.75" customHeight="1">
      <c r="I718" s="49"/>
      <c r="J718" s="49"/>
      <c r="K718" s="49"/>
      <c r="L718" s="49"/>
      <c r="M718" s="49"/>
      <c r="N718" s="49"/>
      <c r="O718" s="49"/>
      <c r="P718" s="49"/>
      <c r="Q718" s="49"/>
    </row>
    <row r="719" ht="15.75" customHeight="1">
      <c r="I719" s="49"/>
      <c r="J719" s="49"/>
      <c r="K719" s="49"/>
      <c r="L719" s="49"/>
      <c r="M719" s="49"/>
      <c r="N719" s="49"/>
      <c r="O719" s="49"/>
      <c r="P719" s="49"/>
      <c r="Q719" s="49"/>
    </row>
    <row r="720" ht="15.75" customHeight="1">
      <c r="I720" s="49"/>
      <c r="J720" s="49"/>
      <c r="K720" s="49"/>
      <c r="L720" s="49"/>
      <c r="M720" s="49"/>
      <c r="N720" s="49"/>
      <c r="O720" s="49"/>
      <c r="P720" s="49"/>
      <c r="Q720" s="49"/>
    </row>
    <row r="721" ht="15.75" customHeight="1">
      <c r="I721" s="49"/>
      <c r="J721" s="49"/>
      <c r="K721" s="49"/>
      <c r="L721" s="49"/>
      <c r="M721" s="49"/>
      <c r="N721" s="49"/>
      <c r="O721" s="49"/>
      <c r="P721" s="49"/>
      <c r="Q721" s="49"/>
    </row>
    <row r="722" ht="15.75" customHeight="1">
      <c r="I722" s="49"/>
      <c r="J722" s="49"/>
      <c r="K722" s="49"/>
      <c r="L722" s="49"/>
      <c r="M722" s="49"/>
      <c r="N722" s="49"/>
      <c r="O722" s="49"/>
      <c r="P722" s="49"/>
      <c r="Q722" s="49"/>
    </row>
    <row r="723" ht="15.75" customHeight="1">
      <c r="I723" s="49"/>
      <c r="J723" s="49"/>
      <c r="K723" s="49"/>
      <c r="L723" s="49"/>
      <c r="M723" s="49"/>
      <c r="N723" s="49"/>
      <c r="O723" s="49"/>
      <c r="P723" s="49"/>
      <c r="Q723" s="49"/>
    </row>
    <row r="724" ht="15.75" customHeight="1">
      <c r="I724" s="49"/>
      <c r="J724" s="49"/>
      <c r="K724" s="49"/>
      <c r="L724" s="49"/>
      <c r="M724" s="49"/>
      <c r="N724" s="49"/>
      <c r="O724" s="49"/>
      <c r="P724" s="49"/>
      <c r="Q724" s="49"/>
    </row>
    <row r="725" ht="15.75" customHeight="1">
      <c r="I725" s="49"/>
      <c r="J725" s="49"/>
      <c r="K725" s="49"/>
      <c r="L725" s="49"/>
      <c r="M725" s="49"/>
      <c r="N725" s="49"/>
      <c r="O725" s="49"/>
      <c r="P725" s="49"/>
      <c r="Q725" s="49"/>
    </row>
    <row r="726" ht="15.75" customHeight="1">
      <c r="I726" s="49"/>
      <c r="J726" s="49"/>
      <c r="K726" s="49"/>
      <c r="L726" s="49"/>
      <c r="M726" s="49"/>
      <c r="N726" s="49"/>
      <c r="O726" s="49"/>
      <c r="P726" s="49"/>
      <c r="Q726" s="49"/>
    </row>
    <row r="727" ht="15.75" customHeight="1">
      <c r="I727" s="49"/>
      <c r="J727" s="49"/>
      <c r="K727" s="49"/>
      <c r="L727" s="49"/>
      <c r="M727" s="49"/>
      <c r="N727" s="49"/>
      <c r="O727" s="49"/>
      <c r="P727" s="49"/>
      <c r="Q727" s="49"/>
    </row>
    <row r="728" ht="15.75" customHeight="1">
      <c r="I728" s="49"/>
      <c r="J728" s="49"/>
      <c r="K728" s="49"/>
      <c r="L728" s="49"/>
      <c r="M728" s="49"/>
      <c r="N728" s="49"/>
      <c r="O728" s="49"/>
      <c r="P728" s="49"/>
      <c r="Q728" s="49"/>
    </row>
    <row r="729" ht="15.75" customHeight="1">
      <c r="I729" s="49"/>
      <c r="J729" s="49"/>
      <c r="K729" s="49"/>
      <c r="L729" s="49"/>
      <c r="M729" s="49"/>
      <c r="N729" s="49"/>
      <c r="O729" s="49"/>
      <c r="P729" s="49"/>
      <c r="Q729" s="49"/>
    </row>
    <row r="730" ht="15.75" customHeight="1">
      <c r="I730" s="49"/>
      <c r="J730" s="49"/>
      <c r="K730" s="49"/>
      <c r="L730" s="49"/>
      <c r="M730" s="49"/>
      <c r="N730" s="49"/>
      <c r="O730" s="49"/>
      <c r="P730" s="49"/>
      <c r="Q730" s="49"/>
    </row>
    <row r="731" ht="15.75" customHeight="1">
      <c r="I731" s="49"/>
      <c r="J731" s="49"/>
      <c r="K731" s="49"/>
      <c r="L731" s="49"/>
      <c r="M731" s="49"/>
      <c r="N731" s="49"/>
      <c r="O731" s="49"/>
      <c r="P731" s="49"/>
      <c r="Q731" s="49"/>
    </row>
    <row r="732" ht="15.75" customHeight="1">
      <c r="I732" s="49"/>
      <c r="J732" s="49"/>
      <c r="K732" s="49"/>
      <c r="L732" s="49"/>
      <c r="M732" s="49"/>
      <c r="N732" s="49"/>
      <c r="O732" s="49"/>
      <c r="P732" s="49"/>
      <c r="Q732" s="49"/>
    </row>
    <row r="733" ht="15.75" customHeight="1">
      <c r="I733" s="49"/>
      <c r="J733" s="49"/>
      <c r="K733" s="49"/>
      <c r="L733" s="49"/>
      <c r="M733" s="49"/>
      <c r="N733" s="49"/>
      <c r="O733" s="49"/>
      <c r="P733" s="49"/>
      <c r="Q733" s="49"/>
    </row>
    <row r="734" ht="15.75" customHeight="1">
      <c r="I734" s="49"/>
      <c r="J734" s="49"/>
      <c r="K734" s="49"/>
      <c r="L734" s="49"/>
      <c r="M734" s="49"/>
      <c r="N734" s="49"/>
      <c r="O734" s="49"/>
      <c r="P734" s="49"/>
      <c r="Q734" s="49"/>
    </row>
    <row r="735" ht="15.75" customHeight="1">
      <c r="I735" s="49"/>
      <c r="J735" s="49"/>
      <c r="K735" s="49"/>
      <c r="L735" s="49"/>
      <c r="M735" s="49"/>
      <c r="N735" s="49"/>
      <c r="O735" s="49"/>
      <c r="P735" s="49"/>
      <c r="Q735" s="49"/>
    </row>
    <row r="736" ht="15.75" customHeight="1">
      <c r="I736" s="49"/>
      <c r="J736" s="49"/>
      <c r="K736" s="49"/>
      <c r="L736" s="49"/>
      <c r="M736" s="49"/>
      <c r="N736" s="49"/>
      <c r="O736" s="49"/>
      <c r="P736" s="49"/>
      <c r="Q736" s="49"/>
    </row>
    <row r="737" ht="15.75" customHeight="1">
      <c r="I737" s="49"/>
      <c r="J737" s="49"/>
      <c r="K737" s="49"/>
      <c r="L737" s="49"/>
      <c r="M737" s="49"/>
      <c r="N737" s="49"/>
      <c r="O737" s="49"/>
      <c r="P737" s="49"/>
      <c r="Q737" s="49"/>
    </row>
    <row r="738" ht="15.75" customHeight="1">
      <c r="I738" s="49"/>
      <c r="J738" s="49"/>
      <c r="K738" s="49"/>
      <c r="L738" s="49"/>
      <c r="M738" s="49"/>
      <c r="N738" s="49"/>
      <c r="O738" s="49"/>
      <c r="P738" s="49"/>
      <c r="Q738" s="49"/>
    </row>
    <row r="739" ht="15.75" customHeight="1">
      <c r="I739" s="49"/>
      <c r="J739" s="49"/>
      <c r="K739" s="49"/>
      <c r="L739" s="49"/>
      <c r="M739" s="49"/>
      <c r="N739" s="49"/>
      <c r="O739" s="49"/>
      <c r="P739" s="49"/>
      <c r="Q739" s="49"/>
    </row>
    <row r="740" ht="15.75" customHeight="1">
      <c r="I740" s="49"/>
      <c r="J740" s="49"/>
      <c r="K740" s="49"/>
      <c r="L740" s="49"/>
      <c r="M740" s="49"/>
      <c r="N740" s="49"/>
      <c r="O740" s="49"/>
      <c r="P740" s="49"/>
      <c r="Q740" s="49"/>
    </row>
    <row r="741" ht="15.75" customHeight="1">
      <c r="I741" s="49"/>
      <c r="J741" s="49"/>
      <c r="K741" s="49"/>
      <c r="L741" s="49"/>
      <c r="M741" s="49"/>
      <c r="N741" s="49"/>
      <c r="O741" s="49"/>
      <c r="P741" s="49"/>
      <c r="Q741" s="49"/>
    </row>
    <row r="742" ht="15.75" customHeight="1">
      <c r="I742" s="49"/>
      <c r="J742" s="49"/>
      <c r="K742" s="49"/>
      <c r="L742" s="49"/>
      <c r="M742" s="49"/>
      <c r="N742" s="49"/>
      <c r="O742" s="49"/>
      <c r="P742" s="49"/>
      <c r="Q742" s="49"/>
    </row>
    <row r="743" ht="15.75" customHeight="1">
      <c r="I743" s="49"/>
      <c r="J743" s="49"/>
      <c r="K743" s="49"/>
      <c r="L743" s="49"/>
      <c r="M743" s="49"/>
      <c r="N743" s="49"/>
      <c r="O743" s="49"/>
      <c r="P743" s="49"/>
      <c r="Q743" s="49"/>
    </row>
    <row r="744" ht="15.75" customHeight="1">
      <c r="I744" s="49"/>
      <c r="J744" s="49"/>
      <c r="K744" s="49"/>
      <c r="L744" s="49"/>
      <c r="M744" s="49"/>
      <c r="N744" s="49"/>
      <c r="O744" s="49"/>
      <c r="P744" s="49"/>
      <c r="Q744" s="49"/>
    </row>
    <row r="745" ht="15.75" customHeight="1">
      <c r="I745" s="49"/>
      <c r="J745" s="49"/>
      <c r="K745" s="49"/>
      <c r="L745" s="49"/>
      <c r="M745" s="49"/>
      <c r="N745" s="49"/>
      <c r="O745" s="49"/>
      <c r="P745" s="49"/>
      <c r="Q745" s="49"/>
    </row>
    <row r="746" ht="15.75" customHeight="1">
      <c r="I746" s="49"/>
      <c r="J746" s="49"/>
      <c r="K746" s="49"/>
      <c r="L746" s="49"/>
      <c r="M746" s="49"/>
      <c r="N746" s="49"/>
      <c r="O746" s="49"/>
      <c r="P746" s="49"/>
      <c r="Q746" s="49"/>
    </row>
    <row r="747" ht="15.75" customHeight="1">
      <c r="I747" s="49"/>
      <c r="J747" s="49"/>
      <c r="K747" s="49"/>
      <c r="L747" s="49"/>
      <c r="M747" s="49"/>
      <c r="N747" s="49"/>
      <c r="O747" s="49"/>
      <c r="P747" s="49"/>
      <c r="Q747" s="49"/>
    </row>
    <row r="748" ht="15.75" customHeight="1">
      <c r="I748" s="49"/>
      <c r="J748" s="49"/>
      <c r="K748" s="49"/>
      <c r="L748" s="49"/>
      <c r="M748" s="49"/>
      <c r="N748" s="49"/>
      <c r="O748" s="49"/>
      <c r="P748" s="49"/>
      <c r="Q748" s="49"/>
    </row>
    <row r="749" ht="15.75" customHeight="1">
      <c r="I749" s="49"/>
      <c r="J749" s="49"/>
      <c r="K749" s="49"/>
      <c r="L749" s="49"/>
      <c r="M749" s="49"/>
      <c r="N749" s="49"/>
      <c r="O749" s="49"/>
      <c r="P749" s="49"/>
      <c r="Q749" s="49"/>
    </row>
    <row r="750" ht="15.75" customHeight="1">
      <c r="I750" s="49"/>
      <c r="J750" s="49"/>
      <c r="K750" s="49"/>
      <c r="L750" s="49"/>
      <c r="M750" s="49"/>
      <c r="N750" s="49"/>
      <c r="O750" s="49"/>
      <c r="P750" s="49"/>
      <c r="Q750" s="49"/>
    </row>
    <row r="751" ht="15.75" customHeight="1">
      <c r="I751" s="49"/>
      <c r="J751" s="49"/>
      <c r="K751" s="49"/>
      <c r="L751" s="49"/>
      <c r="M751" s="49"/>
      <c r="N751" s="49"/>
      <c r="O751" s="49"/>
      <c r="P751" s="49"/>
      <c r="Q751" s="49"/>
    </row>
    <row r="752" ht="15.75" customHeight="1">
      <c r="I752" s="49"/>
      <c r="J752" s="49"/>
      <c r="K752" s="49"/>
      <c r="L752" s="49"/>
      <c r="M752" s="49"/>
      <c r="N752" s="49"/>
      <c r="O752" s="49"/>
      <c r="P752" s="49"/>
      <c r="Q752" s="49"/>
    </row>
    <row r="753" ht="15.75" customHeight="1">
      <c r="I753" s="49"/>
      <c r="J753" s="49"/>
      <c r="K753" s="49"/>
      <c r="L753" s="49"/>
      <c r="M753" s="49"/>
      <c r="N753" s="49"/>
      <c r="O753" s="49"/>
      <c r="P753" s="49"/>
      <c r="Q753" s="49"/>
    </row>
    <row r="754" ht="15.75" customHeight="1">
      <c r="I754" s="49"/>
      <c r="J754" s="49"/>
      <c r="K754" s="49"/>
      <c r="L754" s="49"/>
      <c r="M754" s="49"/>
      <c r="N754" s="49"/>
      <c r="O754" s="49"/>
      <c r="P754" s="49"/>
      <c r="Q754" s="49"/>
    </row>
    <row r="755" ht="15.75" customHeight="1">
      <c r="I755" s="49"/>
      <c r="J755" s="49"/>
      <c r="K755" s="49"/>
      <c r="L755" s="49"/>
      <c r="M755" s="49"/>
      <c r="N755" s="49"/>
      <c r="O755" s="49"/>
      <c r="P755" s="49"/>
      <c r="Q755" s="49"/>
    </row>
    <row r="756" ht="15.75" customHeight="1">
      <c r="I756" s="49"/>
      <c r="J756" s="49"/>
      <c r="K756" s="49"/>
      <c r="L756" s="49"/>
      <c r="M756" s="49"/>
      <c r="N756" s="49"/>
      <c r="O756" s="49"/>
      <c r="P756" s="49"/>
      <c r="Q756" s="49"/>
    </row>
    <row r="757" ht="15.75" customHeight="1">
      <c r="I757" s="49"/>
      <c r="J757" s="49"/>
      <c r="K757" s="49"/>
      <c r="L757" s="49"/>
      <c r="M757" s="49"/>
      <c r="N757" s="49"/>
      <c r="O757" s="49"/>
      <c r="P757" s="49"/>
      <c r="Q757" s="49"/>
    </row>
    <row r="758" ht="15.75" customHeight="1">
      <c r="I758" s="49"/>
      <c r="J758" s="49"/>
      <c r="K758" s="49"/>
      <c r="L758" s="49"/>
      <c r="M758" s="49"/>
      <c r="N758" s="49"/>
      <c r="O758" s="49"/>
      <c r="P758" s="49"/>
      <c r="Q758" s="49"/>
    </row>
    <row r="759" ht="15.75" customHeight="1">
      <c r="I759" s="49"/>
      <c r="J759" s="49"/>
      <c r="K759" s="49"/>
      <c r="L759" s="49"/>
      <c r="M759" s="49"/>
      <c r="N759" s="49"/>
      <c r="O759" s="49"/>
      <c r="P759" s="49"/>
      <c r="Q759" s="49"/>
    </row>
    <row r="760" ht="15.75" customHeight="1">
      <c r="I760" s="49"/>
      <c r="J760" s="49"/>
      <c r="K760" s="49"/>
      <c r="L760" s="49"/>
      <c r="M760" s="49"/>
      <c r="N760" s="49"/>
      <c r="O760" s="49"/>
      <c r="P760" s="49"/>
      <c r="Q760" s="49"/>
    </row>
    <row r="761" ht="15.75" customHeight="1">
      <c r="I761" s="49"/>
      <c r="J761" s="49"/>
      <c r="K761" s="49"/>
      <c r="L761" s="49"/>
      <c r="M761" s="49"/>
      <c r="N761" s="49"/>
      <c r="O761" s="49"/>
      <c r="P761" s="49"/>
      <c r="Q761" s="49"/>
    </row>
    <row r="762" ht="15.75" customHeight="1">
      <c r="I762" s="49"/>
      <c r="J762" s="49"/>
      <c r="K762" s="49"/>
      <c r="L762" s="49"/>
      <c r="M762" s="49"/>
      <c r="N762" s="49"/>
      <c r="O762" s="49"/>
      <c r="P762" s="49"/>
      <c r="Q762" s="49"/>
    </row>
    <row r="763" ht="15.75" customHeight="1">
      <c r="I763" s="49"/>
      <c r="J763" s="49"/>
      <c r="K763" s="49"/>
      <c r="L763" s="49"/>
      <c r="M763" s="49"/>
      <c r="N763" s="49"/>
      <c r="O763" s="49"/>
      <c r="P763" s="49"/>
      <c r="Q763" s="49"/>
    </row>
    <row r="764" ht="15.75" customHeight="1">
      <c r="I764" s="49"/>
      <c r="J764" s="49"/>
      <c r="K764" s="49"/>
      <c r="L764" s="49"/>
      <c r="M764" s="49"/>
      <c r="N764" s="49"/>
      <c r="O764" s="49"/>
      <c r="P764" s="49"/>
      <c r="Q764" s="49"/>
    </row>
    <row r="765" ht="15.75" customHeight="1">
      <c r="I765" s="49"/>
      <c r="J765" s="49"/>
      <c r="K765" s="49"/>
      <c r="L765" s="49"/>
      <c r="M765" s="49"/>
      <c r="N765" s="49"/>
      <c r="O765" s="49"/>
      <c r="P765" s="49"/>
      <c r="Q765" s="49"/>
    </row>
    <row r="766" ht="15.75" customHeight="1">
      <c r="I766" s="49"/>
      <c r="J766" s="49"/>
      <c r="K766" s="49"/>
      <c r="L766" s="49"/>
      <c r="M766" s="49"/>
      <c r="N766" s="49"/>
      <c r="O766" s="49"/>
      <c r="P766" s="49"/>
      <c r="Q766" s="49"/>
    </row>
    <row r="767" ht="15.75" customHeight="1">
      <c r="I767" s="49"/>
      <c r="J767" s="49"/>
      <c r="K767" s="49"/>
      <c r="L767" s="49"/>
      <c r="M767" s="49"/>
      <c r="N767" s="49"/>
      <c r="O767" s="49"/>
      <c r="P767" s="49"/>
      <c r="Q767" s="49"/>
    </row>
    <row r="768" ht="15.75" customHeight="1">
      <c r="I768" s="49"/>
      <c r="J768" s="49"/>
      <c r="K768" s="49"/>
      <c r="L768" s="49"/>
      <c r="M768" s="49"/>
      <c r="N768" s="49"/>
      <c r="O768" s="49"/>
      <c r="P768" s="49"/>
      <c r="Q768" s="49"/>
    </row>
    <row r="769" ht="15.75" customHeight="1">
      <c r="I769" s="49"/>
      <c r="J769" s="49"/>
      <c r="K769" s="49"/>
      <c r="L769" s="49"/>
      <c r="M769" s="49"/>
      <c r="N769" s="49"/>
      <c r="O769" s="49"/>
      <c r="P769" s="49"/>
      <c r="Q769" s="49"/>
    </row>
    <row r="770" ht="15.75" customHeight="1">
      <c r="I770" s="49"/>
      <c r="J770" s="49"/>
      <c r="K770" s="49"/>
      <c r="L770" s="49"/>
      <c r="M770" s="49"/>
      <c r="N770" s="49"/>
      <c r="O770" s="49"/>
      <c r="P770" s="49"/>
      <c r="Q770" s="49"/>
    </row>
    <row r="771" ht="15.75" customHeight="1">
      <c r="I771" s="49"/>
      <c r="J771" s="49"/>
      <c r="K771" s="49"/>
      <c r="L771" s="49"/>
      <c r="M771" s="49"/>
      <c r="N771" s="49"/>
      <c r="O771" s="49"/>
      <c r="P771" s="49"/>
      <c r="Q771" s="49"/>
    </row>
    <row r="772" ht="15.75" customHeight="1">
      <c r="I772" s="49"/>
      <c r="J772" s="49"/>
      <c r="K772" s="49"/>
      <c r="L772" s="49"/>
      <c r="M772" s="49"/>
      <c r="N772" s="49"/>
      <c r="O772" s="49"/>
      <c r="P772" s="49"/>
      <c r="Q772" s="49"/>
    </row>
    <row r="773" ht="15.75" customHeight="1">
      <c r="I773" s="49"/>
      <c r="J773" s="49"/>
      <c r="K773" s="49"/>
      <c r="L773" s="49"/>
      <c r="M773" s="49"/>
      <c r="N773" s="49"/>
      <c r="O773" s="49"/>
      <c r="P773" s="49"/>
      <c r="Q773" s="49"/>
    </row>
    <row r="774" ht="15.75" customHeight="1">
      <c r="I774" s="49"/>
      <c r="J774" s="49"/>
      <c r="K774" s="49"/>
      <c r="L774" s="49"/>
      <c r="M774" s="49"/>
      <c r="N774" s="49"/>
      <c r="O774" s="49"/>
      <c r="P774" s="49"/>
      <c r="Q774" s="49"/>
    </row>
    <row r="775" ht="15.75" customHeight="1">
      <c r="I775" s="49"/>
      <c r="J775" s="49"/>
      <c r="K775" s="49"/>
      <c r="L775" s="49"/>
      <c r="M775" s="49"/>
      <c r="N775" s="49"/>
      <c r="O775" s="49"/>
      <c r="P775" s="49"/>
      <c r="Q775" s="49"/>
    </row>
    <row r="776" ht="15.75" customHeight="1">
      <c r="I776" s="49"/>
      <c r="J776" s="49"/>
      <c r="K776" s="49"/>
      <c r="L776" s="49"/>
      <c r="M776" s="49"/>
      <c r="N776" s="49"/>
      <c r="O776" s="49"/>
      <c r="P776" s="49"/>
      <c r="Q776" s="49"/>
    </row>
    <row r="777" ht="15.75" customHeight="1">
      <c r="I777" s="49"/>
      <c r="J777" s="49"/>
      <c r="K777" s="49"/>
      <c r="L777" s="49"/>
      <c r="M777" s="49"/>
      <c r="N777" s="49"/>
      <c r="O777" s="49"/>
      <c r="P777" s="49"/>
      <c r="Q777" s="49"/>
    </row>
    <row r="778" ht="15.75" customHeight="1">
      <c r="I778" s="49"/>
      <c r="J778" s="49"/>
      <c r="K778" s="49"/>
      <c r="L778" s="49"/>
      <c r="M778" s="49"/>
      <c r="N778" s="49"/>
      <c r="O778" s="49"/>
      <c r="P778" s="49"/>
      <c r="Q778" s="49"/>
    </row>
    <row r="779" ht="15.75" customHeight="1">
      <c r="I779" s="49"/>
      <c r="J779" s="49"/>
      <c r="K779" s="49"/>
      <c r="L779" s="49"/>
      <c r="M779" s="49"/>
      <c r="N779" s="49"/>
      <c r="O779" s="49"/>
      <c r="P779" s="49"/>
      <c r="Q779" s="49"/>
    </row>
    <row r="780" ht="15.75" customHeight="1">
      <c r="I780" s="49"/>
      <c r="J780" s="49"/>
      <c r="K780" s="49"/>
      <c r="L780" s="49"/>
      <c r="M780" s="49"/>
      <c r="N780" s="49"/>
      <c r="O780" s="49"/>
      <c r="P780" s="49"/>
      <c r="Q780" s="49"/>
    </row>
    <row r="781" ht="15.75" customHeight="1">
      <c r="I781" s="49"/>
      <c r="J781" s="49"/>
      <c r="K781" s="49"/>
      <c r="L781" s="49"/>
      <c r="M781" s="49"/>
      <c r="N781" s="49"/>
      <c r="O781" s="49"/>
      <c r="P781" s="49"/>
      <c r="Q781" s="49"/>
    </row>
    <row r="782" ht="15.75" customHeight="1">
      <c r="I782" s="49"/>
      <c r="J782" s="49"/>
      <c r="K782" s="49"/>
      <c r="L782" s="49"/>
      <c r="M782" s="49"/>
      <c r="N782" s="49"/>
      <c r="O782" s="49"/>
      <c r="P782" s="49"/>
      <c r="Q782" s="49"/>
    </row>
    <row r="783" ht="15.75" customHeight="1">
      <c r="I783" s="49"/>
      <c r="J783" s="49"/>
      <c r="K783" s="49"/>
      <c r="L783" s="49"/>
      <c r="M783" s="49"/>
      <c r="N783" s="49"/>
      <c r="O783" s="49"/>
      <c r="P783" s="49"/>
      <c r="Q783" s="49"/>
    </row>
    <row r="784" ht="15.75" customHeight="1">
      <c r="I784" s="49"/>
      <c r="J784" s="49"/>
      <c r="K784" s="49"/>
      <c r="L784" s="49"/>
      <c r="M784" s="49"/>
      <c r="N784" s="49"/>
      <c r="O784" s="49"/>
      <c r="P784" s="49"/>
      <c r="Q784" s="49"/>
    </row>
    <row r="785" ht="15.75" customHeight="1">
      <c r="I785" s="49"/>
      <c r="J785" s="49"/>
      <c r="K785" s="49"/>
      <c r="L785" s="49"/>
      <c r="M785" s="49"/>
      <c r="N785" s="49"/>
      <c r="O785" s="49"/>
      <c r="P785" s="49"/>
      <c r="Q785" s="49"/>
    </row>
    <row r="786" ht="15.75" customHeight="1">
      <c r="I786" s="49"/>
      <c r="J786" s="49"/>
      <c r="K786" s="49"/>
      <c r="L786" s="49"/>
      <c r="M786" s="49"/>
      <c r="N786" s="49"/>
      <c r="O786" s="49"/>
      <c r="P786" s="49"/>
      <c r="Q786" s="49"/>
    </row>
    <row r="787" ht="15.75" customHeight="1">
      <c r="I787" s="49"/>
      <c r="J787" s="49"/>
      <c r="K787" s="49"/>
      <c r="L787" s="49"/>
      <c r="M787" s="49"/>
      <c r="N787" s="49"/>
      <c r="O787" s="49"/>
      <c r="P787" s="49"/>
      <c r="Q787" s="49"/>
    </row>
    <row r="788" ht="15.75" customHeight="1">
      <c r="I788" s="49"/>
      <c r="J788" s="49"/>
      <c r="K788" s="49"/>
      <c r="L788" s="49"/>
      <c r="M788" s="49"/>
      <c r="N788" s="49"/>
      <c r="O788" s="49"/>
      <c r="P788" s="49"/>
      <c r="Q788" s="49"/>
    </row>
    <row r="789" ht="15.75" customHeight="1">
      <c r="I789" s="49"/>
      <c r="J789" s="49"/>
      <c r="K789" s="49"/>
      <c r="L789" s="49"/>
      <c r="M789" s="49"/>
      <c r="N789" s="49"/>
      <c r="O789" s="49"/>
      <c r="P789" s="49"/>
      <c r="Q789" s="49"/>
    </row>
    <row r="790" ht="15.75" customHeight="1">
      <c r="I790" s="49"/>
      <c r="J790" s="49"/>
      <c r="K790" s="49"/>
      <c r="L790" s="49"/>
      <c r="M790" s="49"/>
      <c r="N790" s="49"/>
      <c r="O790" s="49"/>
      <c r="P790" s="49"/>
      <c r="Q790" s="49"/>
    </row>
    <row r="791" ht="15.75" customHeight="1">
      <c r="I791" s="49"/>
      <c r="J791" s="49"/>
      <c r="K791" s="49"/>
      <c r="L791" s="49"/>
      <c r="M791" s="49"/>
      <c r="N791" s="49"/>
      <c r="O791" s="49"/>
      <c r="P791" s="49"/>
      <c r="Q791" s="49"/>
    </row>
    <row r="792" ht="15.75" customHeight="1">
      <c r="I792" s="49"/>
      <c r="J792" s="49"/>
      <c r="K792" s="49"/>
      <c r="L792" s="49"/>
      <c r="M792" s="49"/>
      <c r="N792" s="49"/>
      <c r="O792" s="49"/>
      <c r="P792" s="49"/>
      <c r="Q792" s="49"/>
    </row>
    <row r="793" ht="15.75" customHeight="1">
      <c r="I793" s="49"/>
      <c r="J793" s="49"/>
      <c r="K793" s="49"/>
      <c r="L793" s="49"/>
      <c r="M793" s="49"/>
      <c r="N793" s="49"/>
      <c r="O793" s="49"/>
      <c r="P793" s="49"/>
      <c r="Q793" s="49"/>
    </row>
    <row r="794" ht="15.75" customHeight="1">
      <c r="I794" s="49"/>
      <c r="J794" s="49"/>
      <c r="K794" s="49"/>
      <c r="L794" s="49"/>
      <c r="M794" s="49"/>
      <c r="N794" s="49"/>
      <c r="O794" s="49"/>
      <c r="P794" s="49"/>
      <c r="Q794" s="49"/>
    </row>
    <row r="795" ht="15.75" customHeight="1">
      <c r="I795" s="49"/>
      <c r="J795" s="49"/>
      <c r="K795" s="49"/>
      <c r="L795" s="49"/>
      <c r="M795" s="49"/>
      <c r="N795" s="49"/>
      <c r="O795" s="49"/>
      <c r="P795" s="49"/>
      <c r="Q795" s="49"/>
    </row>
    <row r="796" ht="15.75" customHeight="1">
      <c r="I796" s="49"/>
      <c r="J796" s="49"/>
      <c r="K796" s="49"/>
      <c r="L796" s="49"/>
      <c r="M796" s="49"/>
      <c r="N796" s="49"/>
      <c r="O796" s="49"/>
      <c r="P796" s="49"/>
      <c r="Q796" s="49"/>
    </row>
    <row r="797" ht="15.75" customHeight="1">
      <c r="I797" s="49"/>
      <c r="J797" s="49"/>
      <c r="K797" s="49"/>
      <c r="L797" s="49"/>
      <c r="M797" s="49"/>
      <c r="N797" s="49"/>
      <c r="O797" s="49"/>
      <c r="P797" s="49"/>
      <c r="Q797" s="49"/>
    </row>
    <row r="798" ht="15.75" customHeight="1">
      <c r="I798" s="49"/>
      <c r="J798" s="49"/>
      <c r="K798" s="49"/>
      <c r="L798" s="49"/>
      <c r="M798" s="49"/>
      <c r="N798" s="49"/>
      <c r="O798" s="49"/>
      <c r="P798" s="49"/>
      <c r="Q798" s="49"/>
    </row>
    <row r="799" ht="15.75" customHeight="1">
      <c r="I799" s="49"/>
      <c r="J799" s="49"/>
      <c r="K799" s="49"/>
      <c r="L799" s="49"/>
      <c r="M799" s="49"/>
      <c r="N799" s="49"/>
      <c r="O799" s="49"/>
      <c r="P799" s="49"/>
      <c r="Q799" s="49"/>
    </row>
    <row r="800" ht="15.75" customHeight="1">
      <c r="I800" s="49"/>
      <c r="J800" s="49"/>
      <c r="K800" s="49"/>
      <c r="L800" s="49"/>
      <c r="M800" s="49"/>
      <c r="N800" s="49"/>
      <c r="O800" s="49"/>
      <c r="P800" s="49"/>
      <c r="Q800" s="49"/>
    </row>
    <row r="801" ht="15.75" customHeight="1">
      <c r="I801" s="49"/>
      <c r="J801" s="49"/>
      <c r="K801" s="49"/>
      <c r="L801" s="49"/>
      <c r="M801" s="49"/>
      <c r="N801" s="49"/>
      <c r="O801" s="49"/>
      <c r="P801" s="49"/>
      <c r="Q801" s="49"/>
    </row>
    <row r="802" ht="15.75" customHeight="1">
      <c r="I802" s="49"/>
      <c r="J802" s="49"/>
      <c r="K802" s="49"/>
      <c r="L802" s="49"/>
      <c r="M802" s="49"/>
      <c r="N802" s="49"/>
      <c r="O802" s="49"/>
      <c r="P802" s="49"/>
      <c r="Q802" s="49"/>
    </row>
    <row r="803" ht="15.75" customHeight="1">
      <c r="I803" s="49"/>
      <c r="J803" s="49"/>
      <c r="K803" s="49"/>
      <c r="L803" s="49"/>
      <c r="M803" s="49"/>
      <c r="N803" s="49"/>
      <c r="O803" s="49"/>
      <c r="P803" s="49"/>
      <c r="Q803" s="49"/>
    </row>
    <row r="804" ht="15.75" customHeight="1">
      <c r="I804" s="49"/>
      <c r="J804" s="49"/>
      <c r="K804" s="49"/>
      <c r="L804" s="49"/>
      <c r="M804" s="49"/>
      <c r="N804" s="49"/>
      <c r="O804" s="49"/>
      <c r="P804" s="49"/>
      <c r="Q804" s="49"/>
    </row>
    <row r="805" ht="15.75" customHeight="1">
      <c r="I805" s="49"/>
      <c r="J805" s="49"/>
      <c r="K805" s="49"/>
      <c r="L805" s="49"/>
      <c r="M805" s="49"/>
      <c r="N805" s="49"/>
      <c r="O805" s="49"/>
      <c r="P805" s="49"/>
      <c r="Q805" s="49"/>
    </row>
    <row r="806" ht="15.75" customHeight="1">
      <c r="I806" s="49"/>
      <c r="J806" s="49"/>
      <c r="K806" s="49"/>
      <c r="L806" s="49"/>
      <c r="M806" s="49"/>
      <c r="N806" s="49"/>
      <c r="O806" s="49"/>
      <c r="P806" s="49"/>
      <c r="Q806" s="49"/>
    </row>
    <row r="807" ht="15.75" customHeight="1">
      <c r="I807" s="49"/>
      <c r="J807" s="49"/>
      <c r="K807" s="49"/>
      <c r="L807" s="49"/>
      <c r="M807" s="49"/>
      <c r="N807" s="49"/>
      <c r="O807" s="49"/>
      <c r="P807" s="49"/>
      <c r="Q807" s="49"/>
    </row>
    <row r="808" ht="15.75" customHeight="1">
      <c r="I808" s="49"/>
      <c r="J808" s="49"/>
      <c r="K808" s="49"/>
      <c r="L808" s="49"/>
      <c r="M808" s="49"/>
      <c r="N808" s="49"/>
      <c r="O808" s="49"/>
      <c r="P808" s="49"/>
      <c r="Q808" s="49"/>
    </row>
    <row r="809" ht="15.75" customHeight="1">
      <c r="I809" s="49"/>
      <c r="J809" s="49"/>
      <c r="K809" s="49"/>
      <c r="L809" s="49"/>
      <c r="M809" s="49"/>
      <c r="N809" s="49"/>
      <c r="O809" s="49"/>
      <c r="P809" s="49"/>
      <c r="Q809" s="49"/>
    </row>
    <row r="810" ht="15.75" customHeight="1">
      <c r="I810" s="49"/>
      <c r="J810" s="49"/>
      <c r="K810" s="49"/>
      <c r="L810" s="49"/>
      <c r="M810" s="49"/>
      <c r="N810" s="49"/>
      <c r="O810" s="49"/>
      <c r="P810" s="49"/>
      <c r="Q810" s="49"/>
    </row>
    <row r="811" ht="15.75" customHeight="1">
      <c r="I811" s="49"/>
      <c r="J811" s="49"/>
      <c r="K811" s="49"/>
      <c r="L811" s="49"/>
      <c r="M811" s="49"/>
      <c r="N811" s="49"/>
      <c r="O811" s="49"/>
      <c r="P811" s="49"/>
      <c r="Q811" s="49"/>
    </row>
    <row r="812" ht="15.75" customHeight="1">
      <c r="I812" s="49"/>
      <c r="J812" s="49"/>
      <c r="K812" s="49"/>
      <c r="L812" s="49"/>
      <c r="M812" s="49"/>
      <c r="N812" s="49"/>
      <c r="O812" s="49"/>
      <c r="P812" s="49"/>
      <c r="Q812" s="49"/>
    </row>
    <row r="813" ht="15.75" customHeight="1">
      <c r="I813" s="49"/>
      <c r="J813" s="49"/>
      <c r="K813" s="49"/>
      <c r="L813" s="49"/>
      <c r="M813" s="49"/>
      <c r="N813" s="49"/>
      <c r="O813" s="49"/>
      <c r="P813" s="49"/>
      <c r="Q813" s="49"/>
    </row>
    <row r="814" ht="15.75" customHeight="1">
      <c r="I814" s="49"/>
      <c r="J814" s="49"/>
      <c r="K814" s="49"/>
      <c r="L814" s="49"/>
      <c r="M814" s="49"/>
      <c r="N814" s="49"/>
      <c r="O814" s="49"/>
      <c r="P814" s="49"/>
      <c r="Q814" s="49"/>
    </row>
    <row r="815" ht="15.75" customHeight="1">
      <c r="I815" s="49"/>
      <c r="J815" s="49"/>
      <c r="K815" s="49"/>
      <c r="L815" s="49"/>
      <c r="M815" s="49"/>
      <c r="N815" s="49"/>
      <c r="O815" s="49"/>
      <c r="P815" s="49"/>
      <c r="Q815" s="49"/>
    </row>
    <row r="816" ht="15.75" customHeight="1">
      <c r="I816" s="49"/>
      <c r="J816" s="49"/>
      <c r="K816" s="49"/>
      <c r="L816" s="49"/>
      <c r="M816" s="49"/>
      <c r="N816" s="49"/>
      <c r="O816" s="49"/>
      <c r="P816" s="49"/>
      <c r="Q816" s="49"/>
    </row>
    <row r="817" ht="15.75" customHeight="1">
      <c r="I817" s="49"/>
      <c r="J817" s="49"/>
      <c r="K817" s="49"/>
      <c r="L817" s="49"/>
      <c r="M817" s="49"/>
      <c r="N817" s="49"/>
      <c r="O817" s="49"/>
      <c r="P817" s="49"/>
      <c r="Q817" s="49"/>
    </row>
    <row r="818" ht="15.75" customHeight="1">
      <c r="I818" s="49"/>
      <c r="J818" s="49"/>
      <c r="K818" s="49"/>
      <c r="L818" s="49"/>
      <c r="M818" s="49"/>
      <c r="N818" s="49"/>
      <c r="O818" s="49"/>
      <c r="P818" s="49"/>
      <c r="Q818" s="49"/>
    </row>
    <row r="819" ht="15.75" customHeight="1">
      <c r="I819" s="49"/>
      <c r="J819" s="49"/>
      <c r="K819" s="49"/>
      <c r="L819" s="49"/>
      <c r="M819" s="49"/>
      <c r="N819" s="49"/>
      <c r="O819" s="49"/>
      <c r="P819" s="49"/>
      <c r="Q819" s="49"/>
    </row>
    <row r="820" ht="15.75" customHeight="1">
      <c r="I820" s="49"/>
      <c r="J820" s="49"/>
      <c r="K820" s="49"/>
      <c r="L820" s="49"/>
      <c r="M820" s="49"/>
      <c r="N820" s="49"/>
      <c r="O820" s="49"/>
      <c r="P820" s="49"/>
      <c r="Q820" s="49"/>
    </row>
    <row r="821" ht="15.75" customHeight="1">
      <c r="I821" s="49"/>
      <c r="J821" s="49"/>
      <c r="K821" s="49"/>
      <c r="L821" s="49"/>
      <c r="M821" s="49"/>
      <c r="N821" s="49"/>
      <c r="O821" s="49"/>
      <c r="P821" s="49"/>
      <c r="Q821" s="49"/>
    </row>
    <row r="822" ht="15.75" customHeight="1">
      <c r="I822" s="49"/>
      <c r="J822" s="49"/>
      <c r="K822" s="49"/>
      <c r="L822" s="49"/>
      <c r="M822" s="49"/>
      <c r="N822" s="49"/>
      <c r="O822" s="49"/>
      <c r="P822" s="49"/>
      <c r="Q822" s="49"/>
    </row>
    <row r="823" ht="15.75" customHeight="1">
      <c r="I823" s="49"/>
      <c r="J823" s="49"/>
      <c r="K823" s="49"/>
      <c r="L823" s="49"/>
      <c r="M823" s="49"/>
      <c r="N823" s="49"/>
      <c r="O823" s="49"/>
      <c r="P823" s="49"/>
      <c r="Q823" s="49"/>
    </row>
    <row r="824" ht="15.75" customHeight="1">
      <c r="I824" s="49"/>
      <c r="J824" s="49"/>
      <c r="K824" s="49"/>
      <c r="L824" s="49"/>
      <c r="M824" s="49"/>
      <c r="N824" s="49"/>
      <c r="O824" s="49"/>
      <c r="P824" s="49"/>
      <c r="Q824" s="49"/>
    </row>
    <row r="825" ht="15.75" customHeight="1">
      <c r="I825" s="49"/>
      <c r="J825" s="49"/>
      <c r="K825" s="49"/>
      <c r="L825" s="49"/>
      <c r="M825" s="49"/>
      <c r="N825" s="49"/>
      <c r="O825" s="49"/>
      <c r="P825" s="49"/>
      <c r="Q825" s="49"/>
    </row>
    <row r="826" ht="15.75" customHeight="1">
      <c r="I826" s="49"/>
      <c r="J826" s="49"/>
      <c r="K826" s="49"/>
      <c r="L826" s="49"/>
      <c r="M826" s="49"/>
      <c r="N826" s="49"/>
      <c r="O826" s="49"/>
      <c r="P826" s="49"/>
      <c r="Q826" s="49"/>
    </row>
    <row r="827" ht="15.75" customHeight="1">
      <c r="I827" s="49"/>
      <c r="J827" s="49"/>
      <c r="K827" s="49"/>
      <c r="L827" s="49"/>
      <c r="M827" s="49"/>
      <c r="N827" s="49"/>
      <c r="O827" s="49"/>
      <c r="P827" s="49"/>
      <c r="Q827" s="49"/>
    </row>
    <row r="828" ht="15.75" customHeight="1">
      <c r="I828" s="49"/>
      <c r="J828" s="49"/>
      <c r="K828" s="49"/>
      <c r="L828" s="49"/>
      <c r="M828" s="49"/>
      <c r="N828" s="49"/>
      <c r="O828" s="49"/>
      <c r="P828" s="49"/>
      <c r="Q828" s="49"/>
    </row>
    <row r="829" ht="15.75" customHeight="1">
      <c r="I829" s="49"/>
      <c r="J829" s="49"/>
      <c r="K829" s="49"/>
      <c r="L829" s="49"/>
      <c r="M829" s="49"/>
      <c r="N829" s="49"/>
      <c r="O829" s="49"/>
      <c r="P829" s="49"/>
      <c r="Q829" s="49"/>
    </row>
    <row r="830" ht="15.75" customHeight="1">
      <c r="I830" s="49"/>
      <c r="J830" s="49"/>
      <c r="K830" s="49"/>
      <c r="L830" s="49"/>
      <c r="M830" s="49"/>
      <c r="N830" s="49"/>
      <c r="O830" s="49"/>
      <c r="P830" s="49"/>
      <c r="Q830" s="49"/>
    </row>
    <row r="831" ht="15.75" customHeight="1">
      <c r="I831" s="49"/>
      <c r="J831" s="49"/>
      <c r="K831" s="49"/>
      <c r="L831" s="49"/>
      <c r="M831" s="49"/>
      <c r="N831" s="49"/>
      <c r="O831" s="49"/>
      <c r="P831" s="49"/>
      <c r="Q831" s="49"/>
    </row>
    <row r="832" ht="15.75" customHeight="1">
      <c r="I832" s="49"/>
      <c r="J832" s="49"/>
      <c r="K832" s="49"/>
      <c r="L832" s="49"/>
      <c r="M832" s="49"/>
      <c r="N832" s="49"/>
      <c r="O832" s="49"/>
      <c r="P832" s="49"/>
      <c r="Q832" s="49"/>
    </row>
    <row r="833" ht="15.75" customHeight="1">
      <c r="I833" s="49"/>
      <c r="J833" s="49"/>
      <c r="K833" s="49"/>
      <c r="L833" s="49"/>
      <c r="M833" s="49"/>
      <c r="N833" s="49"/>
      <c r="O833" s="49"/>
      <c r="P833" s="49"/>
      <c r="Q833" s="49"/>
    </row>
    <row r="834" ht="15.75" customHeight="1">
      <c r="I834" s="49"/>
      <c r="J834" s="49"/>
      <c r="K834" s="49"/>
      <c r="L834" s="49"/>
      <c r="M834" s="49"/>
      <c r="N834" s="49"/>
      <c r="O834" s="49"/>
      <c r="P834" s="49"/>
      <c r="Q834" s="49"/>
    </row>
    <row r="835" ht="15.75" customHeight="1">
      <c r="I835" s="49"/>
      <c r="J835" s="49"/>
      <c r="K835" s="49"/>
      <c r="L835" s="49"/>
      <c r="M835" s="49"/>
      <c r="N835" s="49"/>
      <c r="O835" s="49"/>
      <c r="P835" s="49"/>
      <c r="Q835" s="49"/>
    </row>
    <row r="836" ht="15.75" customHeight="1">
      <c r="I836" s="49"/>
      <c r="J836" s="49"/>
      <c r="K836" s="49"/>
      <c r="L836" s="49"/>
      <c r="M836" s="49"/>
      <c r="N836" s="49"/>
      <c r="O836" s="49"/>
      <c r="P836" s="49"/>
      <c r="Q836" s="49"/>
    </row>
    <row r="837" ht="15.75" customHeight="1">
      <c r="I837" s="49"/>
      <c r="J837" s="49"/>
      <c r="K837" s="49"/>
      <c r="L837" s="49"/>
      <c r="M837" s="49"/>
      <c r="N837" s="49"/>
      <c r="O837" s="49"/>
      <c r="P837" s="49"/>
      <c r="Q837" s="49"/>
    </row>
    <row r="838" ht="15.75" customHeight="1">
      <c r="I838" s="49"/>
      <c r="J838" s="49"/>
      <c r="K838" s="49"/>
      <c r="L838" s="49"/>
      <c r="M838" s="49"/>
      <c r="N838" s="49"/>
      <c r="O838" s="49"/>
      <c r="P838" s="49"/>
      <c r="Q838" s="49"/>
    </row>
    <row r="839" ht="15.75" customHeight="1">
      <c r="I839" s="49"/>
      <c r="J839" s="49"/>
      <c r="K839" s="49"/>
      <c r="L839" s="49"/>
      <c r="M839" s="49"/>
      <c r="N839" s="49"/>
      <c r="O839" s="49"/>
      <c r="P839" s="49"/>
      <c r="Q839" s="49"/>
    </row>
    <row r="840" ht="15.75" customHeight="1">
      <c r="I840" s="49"/>
      <c r="J840" s="49"/>
      <c r="K840" s="49"/>
      <c r="L840" s="49"/>
      <c r="M840" s="49"/>
      <c r="N840" s="49"/>
      <c r="O840" s="49"/>
      <c r="P840" s="49"/>
      <c r="Q840" s="49"/>
    </row>
    <row r="841" ht="15.75" customHeight="1">
      <c r="I841" s="49"/>
      <c r="J841" s="49"/>
      <c r="K841" s="49"/>
      <c r="L841" s="49"/>
      <c r="M841" s="49"/>
      <c r="N841" s="49"/>
      <c r="O841" s="49"/>
      <c r="P841" s="49"/>
      <c r="Q841" s="49"/>
    </row>
    <row r="842" ht="15.75" customHeight="1">
      <c r="I842" s="49"/>
      <c r="J842" s="49"/>
      <c r="K842" s="49"/>
      <c r="L842" s="49"/>
      <c r="M842" s="49"/>
      <c r="N842" s="49"/>
      <c r="O842" s="49"/>
      <c r="P842" s="49"/>
      <c r="Q842" s="49"/>
    </row>
    <row r="843" ht="15.75" customHeight="1">
      <c r="I843" s="49"/>
      <c r="J843" s="49"/>
      <c r="K843" s="49"/>
      <c r="L843" s="49"/>
      <c r="M843" s="49"/>
      <c r="N843" s="49"/>
      <c r="O843" s="49"/>
      <c r="P843" s="49"/>
      <c r="Q843" s="49"/>
    </row>
    <row r="844" ht="15.75" customHeight="1">
      <c r="I844" s="49"/>
      <c r="J844" s="49"/>
      <c r="K844" s="49"/>
      <c r="L844" s="49"/>
      <c r="M844" s="49"/>
      <c r="N844" s="49"/>
      <c r="O844" s="49"/>
      <c r="P844" s="49"/>
      <c r="Q844" s="49"/>
    </row>
    <row r="845" ht="15.75" customHeight="1">
      <c r="I845" s="49"/>
      <c r="J845" s="49"/>
      <c r="K845" s="49"/>
      <c r="L845" s="49"/>
      <c r="M845" s="49"/>
      <c r="N845" s="49"/>
      <c r="O845" s="49"/>
      <c r="P845" s="49"/>
      <c r="Q845" s="49"/>
    </row>
    <row r="846" ht="15.75" customHeight="1">
      <c r="I846" s="49"/>
      <c r="J846" s="49"/>
      <c r="K846" s="49"/>
      <c r="L846" s="49"/>
      <c r="M846" s="49"/>
      <c r="N846" s="49"/>
      <c r="O846" s="49"/>
      <c r="P846" s="49"/>
      <c r="Q846" s="49"/>
    </row>
    <row r="847" ht="15.75" customHeight="1">
      <c r="I847" s="49"/>
      <c r="J847" s="49"/>
      <c r="K847" s="49"/>
      <c r="L847" s="49"/>
      <c r="M847" s="49"/>
      <c r="N847" s="49"/>
      <c r="O847" s="49"/>
      <c r="P847" s="49"/>
      <c r="Q847" s="49"/>
    </row>
    <row r="848" ht="15.75" customHeight="1">
      <c r="I848" s="49"/>
      <c r="J848" s="49"/>
      <c r="K848" s="49"/>
      <c r="L848" s="49"/>
      <c r="M848" s="49"/>
      <c r="N848" s="49"/>
      <c r="O848" s="49"/>
      <c r="P848" s="49"/>
      <c r="Q848" s="49"/>
    </row>
    <row r="849" ht="15.75" customHeight="1">
      <c r="I849" s="49"/>
      <c r="J849" s="49"/>
      <c r="K849" s="49"/>
      <c r="L849" s="49"/>
      <c r="M849" s="49"/>
      <c r="N849" s="49"/>
      <c r="O849" s="49"/>
      <c r="P849" s="49"/>
      <c r="Q849" s="49"/>
    </row>
    <row r="850" ht="15.75" customHeight="1">
      <c r="I850" s="49"/>
      <c r="J850" s="49"/>
      <c r="K850" s="49"/>
      <c r="L850" s="49"/>
      <c r="M850" s="49"/>
      <c r="N850" s="49"/>
      <c r="O850" s="49"/>
      <c r="P850" s="49"/>
      <c r="Q850" s="49"/>
    </row>
    <row r="851" ht="15.75" customHeight="1">
      <c r="I851" s="49"/>
      <c r="J851" s="49"/>
      <c r="K851" s="49"/>
      <c r="L851" s="49"/>
      <c r="M851" s="49"/>
      <c r="N851" s="49"/>
      <c r="O851" s="49"/>
      <c r="P851" s="49"/>
      <c r="Q851" s="49"/>
    </row>
    <row r="852" ht="15.75" customHeight="1">
      <c r="I852" s="49"/>
      <c r="J852" s="49"/>
      <c r="K852" s="49"/>
      <c r="L852" s="49"/>
      <c r="M852" s="49"/>
      <c r="N852" s="49"/>
      <c r="O852" s="49"/>
      <c r="P852" s="49"/>
      <c r="Q852" s="49"/>
    </row>
    <row r="853" ht="15.75" customHeight="1">
      <c r="I853" s="49"/>
      <c r="J853" s="49"/>
      <c r="K853" s="49"/>
      <c r="L853" s="49"/>
      <c r="M853" s="49"/>
      <c r="N853" s="49"/>
      <c r="O853" s="49"/>
      <c r="P853" s="49"/>
      <c r="Q853" s="49"/>
    </row>
    <row r="854" ht="15.75" customHeight="1">
      <c r="I854" s="49"/>
      <c r="J854" s="49"/>
      <c r="K854" s="49"/>
      <c r="L854" s="49"/>
      <c r="M854" s="49"/>
      <c r="N854" s="49"/>
      <c r="O854" s="49"/>
      <c r="P854" s="49"/>
      <c r="Q854" s="49"/>
    </row>
    <row r="855" ht="15.75" customHeight="1">
      <c r="I855" s="49"/>
      <c r="J855" s="49"/>
      <c r="K855" s="49"/>
      <c r="L855" s="49"/>
      <c r="M855" s="49"/>
      <c r="N855" s="49"/>
      <c r="O855" s="49"/>
      <c r="P855" s="49"/>
      <c r="Q855" s="49"/>
    </row>
    <row r="856" ht="15.75" customHeight="1">
      <c r="I856" s="49"/>
      <c r="J856" s="49"/>
      <c r="K856" s="49"/>
      <c r="L856" s="49"/>
      <c r="M856" s="49"/>
      <c r="N856" s="49"/>
      <c r="O856" s="49"/>
      <c r="P856" s="49"/>
      <c r="Q856" s="49"/>
    </row>
    <row r="857" ht="15.75" customHeight="1">
      <c r="I857" s="49"/>
      <c r="J857" s="49"/>
      <c r="K857" s="49"/>
      <c r="L857" s="49"/>
      <c r="M857" s="49"/>
      <c r="N857" s="49"/>
      <c r="O857" s="49"/>
      <c r="P857" s="49"/>
      <c r="Q857" s="49"/>
    </row>
    <row r="858" ht="15.75" customHeight="1">
      <c r="I858" s="49"/>
      <c r="J858" s="49"/>
      <c r="K858" s="49"/>
      <c r="L858" s="49"/>
      <c r="M858" s="49"/>
      <c r="N858" s="49"/>
      <c r="O858" s="49"/>
      <c r="P858" s="49"/>
      <c r="Q858" s="49"/>
    </row>
    <row r="859" ht="15.75" customHeight="1">
      <c r="I859" s="49"/>
      <c r="J859" s="49"/>
      <c r="K859" s="49"/>
      <c r="L859" s="49"/>
      <c r="M859" s="49"/>
      <c r="N859" s="49"/>
      <c r="O859" s="49"/>
      <c r="P859" s="49"/>
      <c r="Q859" s="49"/>
    </row>
    <row r="860" ht="15.75" customHeight="1">
      <c r="I860" s="49"/>
      <c r="J860" s="49"/>
      <c r="K860" s="49"/>
      <c r="L860" s="49"/>
      <c r="M860" s="49"/>
      <c r="N860" s="49"/>
      <c r="O860" s="49"/>
      <c r="P860" s="49"/>
      <c r="Q860" s="49"/>
    </row>
    <row r="861" ht="15.75" customHeight="1">
      <c r="I861" s="49"/>
      <c r="J861" s="49"/>
      <c r="K861" s="49"/>
      <c r="L861" s="49"/>
      <c r="M861" s="49"/>
      <c r="N861" s="49"/>
      <c r="O861" s="49"/>
      <c r="P861" s="49"/>
      <c r="Q861" s="49"/>
    </row>
    <row r="862" ht="15.75" customHeight="1">
      <c r="I862" s="49"/>
      <c r="J862" s="49"/>
      <c r="K862" s="49"/>
      <c r="L862" s="49"/>
      <c r="M862" s="49"/>
      <c r="N862" s="49"/>
      <c r="O862" s="49"/>
      <c r="P862" s="49"/>
      <c r="Q862" s="49"/>
    </row>
    <row r="863" ht="15.75" customHeight="1">
      <c r="I863" s="49"/>
      <c r="J863" s="49"/>
      <c r="K863" s="49"/>
      <c r="L863" s="49"/>
      <c r="M863" s="49"/>
      <c r="N863" s="49"/>
      <c r="O863" s="49"/>
      <c r="P863" s="49"/>
      <c r="Q863" s="49"/>
    </row>
    <row r="864" ht="15.75" customHeight="1">
      <c r="I864" s="49"/>
      <c r="J864" s="49"/>
      <c r="K864" s="49"/>
      <c r="L864" s="49"/>
      <c r="M864" s="49"/>
      <c r="N864" s="49"/>
      <c r="O864" s="49"/>
      <c r="P864" s="49"/>
      <c r="Q864" s="49"/>
    </row>
    <row r="865" ht="15.75" customHeight="1">
      <c r="I865" s="49"/>
      <c r="J865" s="49"/>
      <c r="K865" s="49"/>
      <c r="L865" s="49"/>
      <c r="M865" s="49"/>
      <c r="N865" s="49"/>
      <c r="O865" s="49"/>
      <c r="P865" s="49"/>
      <c r="Q865" s="49"/>
    </row>
    <row r="866" ht="15.75" customHeight="1">
      <c r="I866" s="49"/>
      <c r="J866" s="49"/>
      <c r="K866" s="49"/>
      <c r="L866" s="49"/>
      <c r="M866" s="49"/>
      <c r="N866" s="49"/>
      <c r="O866" s="49"/>
      <c r="P866" s="49"/>
      <c r="Q866" s="49"/>
    </row>
    <row r="867" ht="15.75" customHeight="1">
      <c r="I867" s="49"/>
      <c r="J867" s="49"/>
      <c r="K867" s="49"/>
      <c r="L867" s="49"/>
      <c r="M867" s="49"/>
      <c r="N867" s="49"/>
      <c r="O867" s="49"/>
      <c r="P867" s="49"/>
      <c r="Q867" s="49"/>
    </row>
    <row r="868" ht="15.75" customHeight="1">
      <c r="I868" s="49"/>
      <c r="J868" s="49"/>
      <c r="K868" s="49"/>
      <c r="L868" s="49"/>
      <c r="M868" s="49"/>
      <c r="N868" s="49"/>
      <c r="O868" s="49"/>
      <c r="P868" s="49"/>
      <c r="Q868" s="49"/>
    </row>
    <row r="869" ht="15.75" customHeight="1">
      <c r="I869" s="49"/>
      <c r="J869" s="49"/>
      <c r="K869" s="49"/>
      <c r="L869" s="49"/>
      <c r="M869" s="49"/>
      <c r="N869" s="49"/>
      <c r="O869" s="49"/>
      <c r="P869" s="49"/>
      <c r="Q869" s="49"/>
    </row>
    <row r="870" ht="15.75" customHeight="1">
      <c r="I870" s="49"/>
      <c r="J870" s="49"/>
      <c r="K870" s="49"/>
      <c r="L870" s="49"/>
      <c r="M870" s="49"/>
      <c r="N870" s="49"/>
      <c r="O870" s="49"/>
      <c r="P870" s="49"/>
      <c r="Q870" s="49"/>
    </row>
    <row r="871" ht="15.75" customHeight="1">
      <c r="I871" s="49"/>
      <c r="J871" s="49"/>
      <c r="K871" s="49"/>
      <c r="L871" s="49"/>
      <c r="M871" s="49"/>
      <c r="N871" s="49"/>
      <c r="O871" s="49"/>
      <c r="P871" s="49"/>
      <c r="Q871" s="49"/>
    </row>
    <row r="872" ht="15.75" customHeight="1">
      <c r="I872" s="49"/>
      <c r="J872" s="49"/>
      <c r="K872" s="49"/>
      <c r="L872" s="49"/>
      <c r="M872" s="49"/>
      <c r="N872" s="49"/>
      <c r="O872" s="49"/>
      <c r="P872" s="49"/>
      <c r="Q872" s="49"/>
    </row>
    <row r="873" ht="15.75" customHeight="1">
      <c r="I873" s="49"/>
      <c r="J873" s="49"/>
      <c r="K873" s="49"/>
      <c r="L873" s="49"/>
      <c r="M873" s="49"/>
      <c r="N873" s="49"/>
      <c r="O873" s="49"/>
      <c r="P873" s="49"/>
      <c r="Q873" s="49"/>
    </row>
    <row r="874" ht="15.75" customHeight="1">
      <c r="I874" s="49"/>
      <c r="J874" s="49"/>
      <c r="K874" s="49"/>
      <c r="L874" s="49"/>
      <c r="M874" s="49"/>
      <c r="N874" s="49"/>
      <c r="O874" s="49"/>
      <c r="P874" s="49"/>
      <c r="Q874" s="49"/>
    </row>
    <row r="875" ht="15.75" customHeight="1">
      <c r="I875" s="49"/>
      <c r="J875" s="49"/>
      <c r="K875" s="49"/>
      <c r="L875" s="49"/>
      <c r="M875" s="49"/>
      <c r="N875" s="49"/>
      <c r="O875" s="49"/>
      <c r="P875" s="49"/>
      <c r="Q875" s="49"/>
    </row>
    <row r="876" ht="15.75" customHeight="1">
      <c r="I876" s="49"/>
      <c r="J876" s="49"/>
      <c r="K876" s="49"/>
      <c r="L876" s="49"/>
      <c r="M876" s="49"/>
      <c r="N876" s="49"/>
      <c r="O876" s="49"/>
      <c r="P876" s="49"/>
      <c r="Q876" s="49"/>
    </row>
    <row r="877" ht="15.75" customHeight="1">
      <c r="I877" s="49"/>
      <c r="J877" s="49"/>
      <c r="K877" s="49"/>
      <c r="L877" s="49"/>
      <c r="M877" s="49"/>
      <c r="N877" s="49"/>
      <c r="O877" s="49"/>
      <c r="P877" s="49"/>
      <c r="Q877" s="49"/>
    </row>
    <row r="878" ht="15.75" customHeight="1">
      <c r="I878" s="49"/>
      <c r="J878" s="49"/>
      <c r="K878" s="49"/>
      <c r="L878" s="49"/>
      <c r="M878" s="49"/>
      <c r="N878" s="49"/>
      <c r="O878" s="49"/>
      <c r="P878" s="49"/>
      <c r="Q878" s="49"/>
    </row>
    <row r="879" ht="15.75" customHeight="1">
      <c r="I879" s="49"/>
      <c r="J879" s="49"/>
      <c r="K879" s="49"/>
      <c r="L879" s="49"/>
      <c r="M879" s="49"/>
      <c r="N879" s="49"/>
      <c r="O879" s="49"/>
      <c r="P879" s="49"/>
      <c r="Q879" s="49"/>
    </row>
    <row r="880" ht="15.75" customHeight="1">
      <c r="I880" s="49"/>
      <c r="J880" s="49"/>
      <c r="K880" s="49"/>
      <c r="L880" s="49"/>
      <c r="M880" s="49"/>
      <c r="N880" s="49"/>
      <c r="O880" s="49"/>
      <c r="P880" s="49"/>
      <c r="Q880" s="49"/>
    </row>
    <row r="881" ht="15.75" customHeight="1">
      <c r="I881" s="49"/>
      <c r="J881" s="49"/>
      <c r="K881" s="49"/>
      <c r="L881" s="49"/>
      <c r="M881" s="49"/>
      <c r="N881" s="49"/>
      <c r="O881" s="49"/>
      <c r="P881" s="49"/>
      <c r="Q881" s="49"/>
    </row>
    <row r="882" ht="15.75" customHeight="1">
      <c r="I882" s="49"/>
      <c r="J882" s="49"/>
      <c r="K882" s="49"/>
      <c r="L882" s="49"/>
      <c r="M882" s="49"/>
      <c r="N882" s="49"/>
      <c r="O882" s="49"/>
      <c r="P882" s="49"/>
      <c r="Q882" s="49"/>
    </row>
    <row r="883" ht="15.75" customHeight="1">
      <c r="I883" s="49"/>
      <c r="J883" s="49"/>
      <c r="K883" s="49"/>
      <c r="L883" s="49"/>
      <c r="M883" s="49"/>
      <c r="N883" s="49"/>
      <c r="O883" s="49"/>
      <c r="P883" s="49"/>
      <c r="Q883" s="49"/>
    </row>
    <row r="884" ht="15.75" customHeight="1">
      <c r="I884" s="49"/>
      <c r="J884" s="49"/>
      <c r="K884" s="49"/>
      <c r="L884" s="49"/>
      <c r="M884" s="49"/>
      <c r="N884" s="49"/>
      <c r="O884" s="49"/>
      <c r="P884" s="49"/>
      <c r="Q884" s="49"/>
    </row>
    <row r="885" ht="15.75" customHeight="1">
      <c r="I885" s="49"/>
      <c r="J885" s="49"/>
      <c r="K885" s="49"/>
      <c r="L885" s="49"/>
      <c r="M885" s="49"/>
      <c r="N885" s="49"/>
      <c r="O885" s="49"/>
      <c r="P885" s="49"/>
      <c r="Q885" s="49"/>
    </row>
    <row r="886" ht="15.75" customHeight="1">
      <c r="I886" s="49"/>
      <c r="J886" s="49"/>
      <c r="K886" s="49"/>
      <c r="L886" s="49"/>
      <c r="M886" s="49"/>
      <c r="N886" s="49"/>
      <c r="O886" s="49"/>
      <c r="P886" s="49"/>
      <c r="Q886" s="49"/>
    </row>
    <row r="887" ht="15.75" customHeight="1">
      <c r="I887" s="49"/>
      <c r="J887" s="49"/>
      <c r="K887" s="49"/>
      <c r="L887" s="49"/>
      <c r="M887" s="49"/>
      <c r="N887" s="49"/>
      <c r="O887" s="49"/>
      <c r="P887" s="49"/>
      <c r="Q887" s="49"/>
    </row>
    <row r="888" ht="15.75" customHeight="1">
      <c r="I888" s="49"/>
      <c r="J888" s="49"/>
      <c r="K888" s="49"/>
      <c r="L888" s="49"/>
      <c r="M888" s="49"/>
      <c r="N888" s="49"/>
      <c r="O888" s="49"/>
      <c r="P888" s="49"/>
      <c r="Q888" s="49"/>
    </row>
    <row r="889" ht="15.75" customHeight="1">
      <c r="I889" s="49"/>
      <c r="J889" s="49"/>
      <c r="K889" s="49"/>
      <c r="L889" s="49"/>
      <c r="M889" s="49"/>
      <c r="N889" s="49"/>
      <c r="O889" s="49"/>
      <c r="P889" s="49"/>
      <c r="Q889" s="49"/>
    </row>
    <row r="890" ht="15.75" customHeight="1">
      <c r="I890" s="49"/>
      <c r="J890" s="49"/>
      <c r="K890" s="49"/>
      <c r="L890" s="49"/>
      <c r="M890" s="49"/>
      <c r="N890" s="49"/>
      <c r="O890" s="49"/>
      <c r="P890" s="49"/>
      <c r="Q890" s="49"/>
    </row>
    <row r="891" ht="15.75" customHeight="1">
      <c r="I891" s="49"/>
      <c r="J891" s="49"/>
      <c r="K891" s="49"/>
      <c r="L891" s="49"/>
      <c r="M891" s="49"/>
      <c r="N891" s="49"/>
      <c r="O891" s="49"/>
      <c r="P891" s="49"/>
      <c r="Q891" s="49"/>
    </row>
    <row r="892" ht="15.75" customHeight="1">
      <c r="I892" s="49"/>
      <c r="J892" s="49"/>
      <c r="K892" s="49"/>
      <c r="L892" s="49"/>
      <c r="M892" s="49"/>
      <c r="N892" s="49"/>
      <c r="O892" s="49"/>
      <c r="P892" s="49"/>
      <c r="Q892" s="49"/>
    </row>
    <row r="893" ht="15.75" customHeight="1">
      <c r="I893" s="49"/>
      <c r="J893" s="49"/>
      <c r="K893" s="49"/>
      <c r="L893" s="49"/>
      <c r="M893" s="49"/>
      <c r="N893" s="49"/>
      <c r="O893" s="49"/>
      <c r="P893" s="49"/>
      <c r="Q893" s="49"/>
    </row>
    <row r="894" ht="15.75" customHeight="1">
      <c r="I894" s="49"/>
      <c r="J894" s="49"/>
      <c r="K894" s="49"/>
      <c r="L894" s="49"/>
      <c r="M894" s="49"/>
      <c r="N894" s="49"/>
      <c r="O894" s="49"/>
      <c r="P894" s="49"/>
      <c r="Q894" s="49"/>
    </row>
    <row r="895" ht="15.75" customHeight="1">
      <c r="I895" s="49"/>
      <c r="J895" s="49"/>
      <c r="K895" s="49"/>
      <c r="L895" s="49"/>
      <c r="M895" s="49"/>
      <c r="N895" s="49"/>
      <c r="O895" s="49"/>
      <c r="P895" s="49"/>
      <c r="Q895" s="49"/>
    </row>
    <row r="896" ht="15.75" customHeight="1">
      <c r="I896" s="49"/>
      <c r="J896" s="49"/>
      <c r="K896" s="49"/>
      <c r="L896" s="49"/>
      <c r="M896" s="49"/>
      <c r="N896" s="49"/>
      <c r="O896" s="49"/>
      <c r="P896" s="49"/>
      <c r="Q896" s="49"/>
    </row>
    <row r="897" ht="15.75" customHeight="1">
      <c r="I897" s="49"/>
      <c r="J897" s="49"/>
      <c r="K897" s="49"/>
      <c r="L897" s="49"/>
      <c r="M897" s="49"/>
      <c r="N897" s="49"/>
      <c r="O897" s="49"/>
      <c r="P897" s="49"/>
      <c r="Q897" s="49"/>
    </row>
    <row r="898" ht="15.75" customHeight="1">
      <c r="I898" s="49"/>
      <c r="J898" s="49"/>
      <c r="K898" s="49"/>
      <c r="L898" s="49"/>
      <c r="M898" s="49"/>
      <c r="N898" s="49"/>
      <c r="O898" s="49"/>
      <c r="P898" s="49"/>
      <c r="Q898" s="49"/>
    </row>
    <row r="899" ht="15.75" customHeight="1">
      <c r="I899" s="49"/>
      <c r="J899" s="49"/>
      <c r="K899" s="49"/>
      <c r="L899" s="49"/>
      <c r="M899" s="49"/>
      <c r="N899" s="49"/>
      <c r="O899" s="49"/>
      <c r="P899" s="49"/>
      <c r="Q899" s="49"/>
    </row>
    <row r="900" ht="15.75" customHeight="1">
      <c r="I900" s="49"/>
      <c r="J900" s="49"/>
      <c r="K900" s="49"/>
      <c r="L900" s="49"/>
      <c r="M900" s="49"/>
      <c r="N900" s="49"/>
      <c r="O900" s="49"/>
      <c r="P900" s="49"/>
      <c r="Q900" s="49"/>
    </row>
    <row r="901" ht="15.75" customHeight="1">
      <c r="I901" s="49"/>
      <c r="J901" s="49"/>
      <c r="K901" s="49"/>
      <c r="L901" s="49"/>
      <c r="M901" s="49"/>
      <c r="N901" s="49"/>
      <c r="O901" s="49"/>
      <c r="P901" s="49"/>
      <c r="Q901" s="49"/>
    </row>
    <row r="902" ht="15.75" customHeight="1">
      <c r="I902" s="49"/>
      <c r="J902" s="49"/>
      <c r="K902" s="49"/>
      <c r="L902" s="49"/>
      <c r="M902" s="49"/>
      <c r="N902" s="49"/>
      <c r="O902" s="49"/>
      <c r="P902" s="49"/>
      <c r="Q902" s="49"/>
    </row>
    <row r="903" ht="15.75" customHeight="1">
      <c r="I903" s="49"/>
      <c r="J903" s="49"/>
      <c r="K903" s="49"/>
      <c r="L903" s="49"/>
      <c r="M903" s="49"/>
      <c r="N903" s="49"/>
      <c r="O903" s="49"/>
      <c r="P903" s="49"/>
      <c r="Q903" s="49"/>
    </row>
    <row r="904" ht="15.75" customHeight="1">
      <c r="I904" s="49"/>
      <c r="J904" s="49"/>
      <c r="K904" s="49"/>
      <c r="L904" s="49"/>
      <c r="M904" s="49"/>
      <c r="N904" s="49"/>
      <c r="O904" s="49"/>
      <c r="P904" s="49"/>
      <c r="Q904" s="49"/>
    </row>
    <row r="905" ht="15.75" customHeight="1">
      <c r="I905" s="49"/>
      <c r="J905" s="49"/>
      <c r="K905" s="49"/>
      <c r="L905" s="49"/>
      <c r="M905" s="49"/>
      <c r="N905" s="49"/>
      <c r="O905" s="49"/>
      <c r="P905" s="49"/>
      <c r="Q905" s="49"/>
    </row>
    <row r="906" ht="15.75" customHeight="1">
      <c r="I906" s="49"/>
      <c r="J906" s="49"/>
      <c r="K906" s="49"/>
      <c r="L906" s="49"/>
      <c r="M906" s="49"/>
      <c r="N906" s="49"/>
      <c r="O906" s="49"/>
      <c r="P906" s="49"/>
      <c r="Q906" s="49"/>
    </row>
    <row r="907" ht="15.75" customHeight="1">
      <c r="I907" s="49"/>
      <c r="J907" s="49"/>
      <c r="K907" s="49"/>
      <c r="L907" s="49"/>
      <c r="M907" s="49"/>
      <c r="N907" s="49"/>
      <c r="O907" s="49"/>
      <c r="P907" s="49"/>
      <c r="Q907" s="49"/>
    </row>
    <row r="908" ht="15.75" customHeight="1">
      <c r="I908" s="49"/>
      <c r="J908" s="49"/>
      <c r="K908" s="49"/>
      <c r="L908" s="49"/>
      <c r="M908" s="49"/>
      <c r="N908" s="49"/>
      <c r="O908" s="49"/>
      <c r="P908" s="49"/>
      <c r="Q908" s="49"/>
    </row>
    <row r="909" ht="15.75" customHeight="1">
      <c r="I909" s="49"/>
      <c r="J909" s="49"/>
      <c r="K909" s="49"/>
      <c r="L909" s="49"/>
      <c r="M909" s="49"/>
      <c r="N909" s="49"/>
      <c r="O909" s="49"/>
      <c r="P909" s="49"/>
      <c r="Q909" s="49"/>
    </row>
    <row r="910" ht="15.75" customHeight="1">
      <c r="I910" s="49"/>
      <c r="J910" s="49"/>
      <c r="K910" s="49"/>
      <c r="L910" s="49"/>
      <c r="M910" s="49"/>
      <c r="N910" s="49"/>
      <c r="O910" s="49"/>
      <c r="P910" s="49"/>
      <c r="Q910" s="49"/>
    </row>
    <row r="911" ht="15.75" customHeight="1">
      <c r="I911" s="49"/>
      <c r="J911" s="49"/>
      <c r="K911" s="49"/>
      <c r="L911" s="49"/>
      <c r="M911" s="49"/>
      <c r="N911" s="49"/>
      <c r="O911" s="49"/>
      <c r="P911" s="49"/>
      <c r="Q911" s="49"/>
    </row>
    <row r="912" ht="15.75" customHeight="1">
      <c r="I912" s="49"/>
      <c r="J912" s="49"/>
      <c r="K912" s="49"/>
      <c r="L912" s="49"/>
      <c r="M912" s="49"/>
      <c r="N912" s="49"/>
      <c r="O912" s="49"/>
      <c r="P912" s="49"/>
      <c r="Q912" s="49"/>
    </row>
    <row r="913" ht="15.75" customHeight="1">
      <c r="I913" s="49"/>
      <c r="J913" s="49"/>
      <c r="K913" s="49"/>
      <c r="L913" s="49"/>
      <c r="M913" s="49"/>
      <c r="N913" s="49"/>
      <c r="O913" s="49"/>
      <c r="P913" s="49"/>
      <c r="Q913" s="49"/>
    </row>
    <row r="914" ht="15.75" customHeight="1">
      <c r="I914" s="49"/>
      <c r="J914" s="49"/>
      <c r="K914" s="49"/>
      <c r="L914" s="49"/>
      <c r="M914" s="49"/>
      <c r="N914" s="49"/>
      <c r="O914" s="49"/>
      <c r="P914" s="49"/>
      <c r="Q914" s="49"/>
    </row>
    <row r="915" ht="15.75" customHeight="1">
      <c r="I915" s="49"/>
      <c r="J915" s="49"/>
      <c r="K915" s="49"/>
      <c r="L915" s="49"/>
      <c r="M915" s="49"/>
      <c r="N915" s="49"/>
      <c r="O915" s="49"/>
      <c r="P915" s="49"/>
      <c r="Q915" s="49"/>
    </row>
    <row r="916" ht="15.75" customHeight="1">
      <c r="I916" s="49"/>
      <c r="J916" s="49"/>
      <c r="K916" s="49"/>
      <c r="L916" s="49"/>
      <c r="M916" s="49"/>
      <c r="N916" s="49"/>
      <c r="O916" s="49"/>
      <c r="P916" s="49"/>
      <c r="Q916" s="49"/>
    </row>
    <row r="917" ht="15.75" customHeight="1">
      <c r="I917" s="49"/>
      <c r="J917" s="49"/>
      <c r="K917" s="49"/>
      <c r="L917" s="49"/>
      <c r="M917" s="49"/>
      <c r="N917" s="49"/>
      <c r="O917" s="49"/>
      <c r="P917" s="49"/>
      <c r="Q917" s="49"/>
    </row>
    <row r="918" ht="15.75" customHeight="1">
      <c r="I918" s="49"/>
      <c r="J918" s="49"/>
      <c r="K918" s="49"/>
      <c r="L918" s="49"/>
      <c r="M918" s="49"/>
      <c r="N918" s="49"/>
      <c r="O918" s="49"/>
      <c r="P918" s="49"/>
      <c r="Q918" s="49"/>
    </row>
    <row r="919" ht="15.75" customHeight="1">
      <c r="I919" s="49"/>
      <c r="J919" s="49"/>
      <c r="K919" s="49"/>
      <c r="L919" s="49"/>
      <c r="M919" s="49"/>
      <c r="N919" s="49"/>
      <c r="O919" s="49"/>
      <c r="P919" s="49"/>
      <c r="Q919" s="49"/>
    </row>
    <row r="920" ht="15.75" customHeight="1">
      <c r="I920" s="49"/>
      <c r="J920" s="49"/>
      <c r="K920" s="49"/>
      <c r="L920" s="49"/>
      <c r="M920" s="49"/>
      <c r="N920" s="49"/>
      <c r="O920" s="49"/>
      <c r="P920" s="49"/>
      <c r="Q920" s="49"/>
    </row>
    <row r="921" ht="15.75" customHeight="1">
      <c r="I921" s="49"/>
      <c r="J921" s="49"/>
      <c r="K921" s="49"/>
      <c r="L921" s="49"/>
      <c r="M921" s="49"/>
      <c r="N921" s="49"/>
      <c r="O921" s="49"/>
      <c r="P921" s="49"/>
      <c r="Q921" s="49"/>
    </row>
    <row r="922" ht="15.75" customHeight="1">
      <c r="I922" s="49"/>
      <c r="J922" s="49"/>
      <c r="K922" s="49"/>
      <c r="L922" s="49"/>
      <c r="M922" s="49"/>
      <c r="N922" s="49"/>
      <c r="O922" s="49"/>
      <c r="P922" s="49"/>
      <c r="Q922" s="49"/>
    </row>
    <row r="923" ht="15.75" customHeight="1">
      <c r="I923" s="49"/>
      <c r="J923" s="49"/>
      <c r="K923" s="49"/>
      <c r="L923" s="49"/>
      <c r="M923" s="49"/>
      <c r="N923" s="49"/>
      <c r="O923" s="49"/>
      <c r="P923" s="49"/>
      <c r="Q923" s="49"/>
    </row>
    <row r="924" ht="15.75" customHeight="1">
      <c r="I924" s="49"/>
      <c r="J924" s="49"/>
      <c r="K924" s="49"/>
      <c r="L924" s="49"/>
      <c r="M924" s="49"/>
      <c r="N924" s="49"/>
      <c r="O924" s="49"/>
      <c r="P924" s="49"/>
      <c r="Q924" s="49"/>
    </row>
    <row r="925" ht="15.75" customHeight="1">
      <c r="I925" s="49"/>
      <c r="J925" s="49"/>
      <c r="K925" s="49"/>
      <c r="L925" s="49"/>
      <c r="M925" s="49"/>
      <c r="N925" s="49"/>
      <c r="O925" s="49"/>
      <c r="P925" s="49"/>
      <c r="Q925" s="49"/>
    </row>
    <row r="926" ht="15.75" customHeight="1">
      <c r="I926" s="49"/>
      <c r="J926" s="49"/>
      <c r="K926" s="49"/>
      <c r="L926" s="49"/>
      <c r="M926" s="49"/>
      <c r="N926" s="49"/>
      <c r="O926" s="49"/>
      <c r="P926" s="49"/>
      <c r="Q926" s="49"/>
    </row>
    <row r="927" ht="15.75" customHeight="1">
      <c r="I927" s="49"/>
      <c r="J927" s="49"/>
      <c r="K927" s="49"/>
      <c r="L927" s="49"/>
      <c r="M927" s="49"/>
      <c r="N927" s="49"/>
      <c r="O927" s="49"/>
      <c r="P927" s="49"/>
      <c r="Q927" s="49"/>
    </row>
    <row r="928" ht="15.75" customHeight="1">
      <c r="I928" s="49"/>
      <c r="J928" s="49"/>
      <c r="K928" s="49"/>
      <c r="L928" s="49"/>
      <c r="M928" s="49"/>
      <c r="N928" s="49"/>
      <c r="O928" s="49"/>
      <c r="P928" s="49"/>
      <c r="Q928" s="49"/>
    </row>
    <row r="929" ht="15.75" customHeight="1">
      <c r="I929" s="49"/>
      <c r="J929" s="49"/>
      <c r="K929" s="49"/>
      <c r="L929" s="49"/>
      <c r="M929" s="49"/>
      <c r="N929" s="49"/>
      <c r="O929" s="49"/>
      <c r="P929" s="49"/>
      <c r="Q929" s="49"/>
    </row>
    <row r="930" ht="15.75" customHeight="1">
      <c r="I930" s="49"/>
      <c r="J930" s="49"/>
      <c r="K930" s="49"/>
      <c r="L930" s="49"/>
      <c r="M930" s="49"/>
      <c r="N930" s="49"/>
      <c r="O930" s="49"/>
      <c r="P930" s="49"/>
      <c r="Q930" s="49"/>
    </row>
    <row r="931" ht="15.75" customHeight="1">
      <c r="I931" s="49"/>
      <c r="J931" s="49"/>
      <c r="K931" s="49"/>
      <c r="L931" s="49"/>
      <c r="M931" s="49"/>
      <c r="N931" s="49"/>
      <c r="O931" s="49"/>
      <c r="P931" s="49"/>
      <c r="Q931" s="49"/>
    </row>
    <row r="932" ht="15.75" customHeight="1">
      <c r="I932" s="49"/>
      <c r="J932" s="49"/>
      <c r="K932" s="49"/>
      <c r="L932" s="49"/>
      <c r="M932" s="49"/>
      <c r="N932" s="49"/>
      <c r="O932" s="49"/>
      <c r="P932" s="49"/>
      <c r="Q932" s="49"/>
    </row>
    <row r="933" ht="15.75" customHeight="1">
      <c r="I933" s="49"/>
      <c r="J933" s="49"/>
      <c r="K933" s="49"/>
      <c r="L933" s="49"/>
      <c r="M933" s="49"/>
      <c r="N933" s="49"/>
      <c r="O933" s="49"/>
      <c r="P933" s="49"/>
      <c r="Q933" s="49"/>
    </row>
    <row r="934" ht="15.75" customHeight="1">
      <c r="I934" s="49"/>
      <c r="J934" s="49"/>
      <c r="K934" s="49"/>
      <c r="L934" s="49"/>
      <c r="M934" s="49"/>
      <c r="N934" s="49"/>
      <c r="O934" s="49"/>
      <c r="P934" s="49"/>
      <c r="Q934" s="49"/>
    </row>
    <row r="935" ht="15.75" customHeight="1">
      <c r="I935" s="49"/>
      <c r="J935" s="49"/>
      <c r="K935" s="49"/>
      <c r="L935" s="49"/>
      <c r="M935" s="49"/>
      <c r="N935" s="49"/>
      <c r="O935" s="49"/>
      <c r="P935" s="49"/>
      <c r="Q935" s="49"/>
    </row>
    <row r="936" ht="15.75" customHeight="1">
      <c r="I936" s="49"/>
      <c r="J936" s="49"/>
      <c r="K936" s="49"/>
      <c r="L936" s="49"/>
      <c r="M936" s="49"/>
      <c r="N936" s="49"/>
      <c r="O936" s="49"/>
      <c r="P936" s="49"/>
      <c r="Q936" s="49"/>
    </row>
    <row r="937" ht="15.75" customHeight="1">
      <c r="I937" s="49"/>
      <c r="J937" s="49"/>
      <c r="K937" s="49"/>
      <c r="L937" s="49"/>
      <c r="M937" s="49"/>
      <c r="N937" s="49"/>
      <c r="O937" s="49"/>
      <c r="P937" s="49"/>
      <c r="Q937" s="49"/>
    </row>
    <row r="938" ht="15.75" customHeight="1">
      <c r="I938" s="49"/>
      <c r="J938" s="49"/>
      <c r="K938" s="49"/>
      <c r="L938" s="49"/>
      <c r="M938" s="49"/>
      <c r="N938" s="49"/>
      <c r="O938" s="49"/>
      <c r="P938" s="49"/>
      <c r="Q938" s="49"/>
    </row>
    <row r="939" ht="15.75" customHeight="1">
      <c r="I939" s="49"/>
      <c r="J939" s="49"/>
      <c r="K939" s="49"/>
      <c r="L939" s="49"/>
      <c r="M939" s="49"/>
      <c r="N939" s="49"/>
      <c r="O939" s="49"/>
      <c r="P939" s="49"/>
      <c r="Q939" s="49"/>
    </row>
    <row r="940" ht="15.75" customHeight="1">
      <c r="I940" s="49"/>
      <c r="J940" s="49"/>
      <c r="K940" s="49"/>
      <c r="L940" s="49"/>
      <c r="M940" s="49"/>
      <c r="N940" s="49"/>
      <c r="O940" s="49"/>
      <c r="P940" s="49"/>
      <c r="Q940" s="49"/>
    </row>
    <row r="941" ht="15.75" customHeight="1">
      <c r="I941" s="49"/>
      <c r="J941" s="49"/>
      <c r="K941" s="49"/>
      <c r="L941" s="49"/>
      <c r="M941" s="49"/>
      <c r="N941" s="49"/>
      <c r="O941" s="49"/>
      <c r="P941" s="49"/>
      <c r="Q941" s="49"/>
    </row>
    <row r="942" ht="15.75" customHeight="1">
      <c r="I942" s="49"/>
      <c r="J942" s="49"/>
      <c r="K942" s="49"/>
      <c r="L942" s="49"/>
      <c r="M942" s="49"/>
      <c r="N942" s="49"/>
      <c r="O942" s="49"/>
      <c r="P942" s="49"/>
      <c r="Q942" s="49"/>
    </row>
    <row r="943" ht="15.75" customHeight="1">
      <c r="I943" s="49"/>
      <c r="J943" s="49"/>
      <c r="K943" s="49"/>
      <c r="L943" s="49"/>
      <c r="M943" s="49"/>
      <c r="N943" s="49"/>
      <c r="O943" s="49"/>
      <c r="P943" s="49"/>
      <c r="Q943" s="49"/>
    </row>
    <row r="944" ht="15.75" customHeight="1">
      <c r="I944" s="49"/>
      <c r="J944" s="49"/>
      <c r="K944" s="49"/>
      <c r="L944" s="49"/>
      <c r="M944" s="49"/>
      <c r="N944" s="49"/>
      <c r="O944" s="49"/>
      <c r="P944" s="49"/>
      <c r="Q944" s="49"/>
    </row>
    <row r="945" ht="15.75" customHeight="1">
      <c r="I945" s="49"/>
      <c r="J945" s="49"/>
      <c r="K945" s="49"/>
      <c r="L945" s="49"/>
      <c r="M945" s="49"/>
      <c r="N945" s="49"/>
      <c r="O945" s="49"/>
      <c r="P945" s="49"/>
      <c r="Q945" s="49"/>
    </row>
    <row r="946" ht="15.75" customHeight="1">
      <c r="I946" s="49"/>
      <c r="J946" s="49"/>
      <c r="K946" s="49"/>
      <c r="L946" s="49"/>
      <c r="M946" s="49"/>
      <c r="N946" s="49"/>
      <c r="O946" s="49"/>
      <c r="P946" s="49"/>
      <c r="Q946" s="49"/>
    </row>
    <row r="947" ht="15.75" customHeight="1">
      <c r="I947" s="49"/>
      <c r="J947" s="49"/>
      <c r="K947" s="49"/>
      <c r="L947" s="49"/>
      <c r="M947" s="49"/>
      <c r="N947" s="49"/>
      <c r="O947" s="49"/>
      <c r="P947" s="49"/>
      <c r="Q947" s="49"/>
    </row>
    <row r="948" ht="15.75" customHeight="1">
      <c r="I948" s="49"/>
      <c r="J948" s="49"/>
      <c r="K948" s="49"/>
      <c r="L948" s="49"/>
      <c r="M948" s="49"/>
      <c r="N948" s="49"/>
      <c r="O948" s="49"/>
      <c r="P948" s="49"/>
      <c r="Q948" s="49"/>
    </row>
    <row r="949" ht="15.75" customHeight="1">
      <c r="I949" s="49"/>
      <c r="J949" s="49"/>
      <c r="K949" s="49"/>
      <c r="L949" s="49"/>
      <c r="M949" s="49"/>
      <c r="N949" s="49"/>
      <c r="O949" s="49"/>
      <c r="P949" s="49"/>
      <c r="Q949" s="49"/>
    </row>
    <row r="950" ht="15.75" customHeight="1">
      <c r="I950" s="49"/>
      <c r="J950" s="49"/>
      <c r="K950" s="49"/>
      <c r="L950" s="49"/>
      <c r="M950" s="49"/>
      <c r="N950" s="49"/>
      <c r="O950" s="49"/>
      <c r="P950" s="49"/>
      <c r="Q950" s="49"/>
    </row>
    <row r="951" ht="15.75" customHeight="1">
      <c r="I951" s="49"/>
      <c r="J951" s="49"/>
      <c r="K951" s="49"/>
      <c r="L951" s="49"/>
      <c r="M951" s="49"/>
      <c r="N951" s="49"/>
      <c r="O951" s="49"/>
      <c r="P951" s="49"/>
      <c r="Q951" s="49"/>
    </row>
    <row r="952" ht="15.75" customHeight="1">
      <c r="I952" s="49"/>
      <c r="J952" s="49"/>
      <c r="K952" s="49"/>
      <c r="L952" s="49"/>
      <c r="M952" s="49"/>
      <c r="N952" s="49"/>
      <c r="O952" s="49"/>
      <c r="P952" s="49"/>
      <c r="Q952" s="49"/>
    </row>
    <row r="953" ht="15.75" customHeight="1">
      <c r="I953" s="49"/>
      <c r="J953" s="49"/>
      <c r="K953" s="49"/>
      <c r="L953" s="49"/>
      <c r="M953" s="49"/>
      <c r="N953" s="49"/>
      <c r="O953" s="49"/>
      <c r="P953" s="49"/>
      <c r="Q953" s="49"/>
    </row>
    <row r="954" ht="15.75" customHeight="1">
      <c r="I954" s="49"/>
      <c r="J954" s="49"/>
      <c r="K954" s="49"/>
      <c r="L954" s="49"/>
      <c r="M954" s="49"/>
      <c r="N954" s="49"/>
      <c r="O954" s="49"/>
      <c r="P954" s="49"/>
      <c r="Q954" s="49"/>
    </row>
    <row r="955" ht="15.75" customHeight="1">
      <c r="I955" s="49"/>
      <c r="J955" s="49"/>
      <c r="K955" s="49"/>
      <c r="L955" s="49"/>
      <c r="M955" s="49"/>
      <c r="N955" s="49"/>
      <c r="O955" s="49"/>
      <c r="P955" s="49"/>
      <c r="Q955" s="49"/>
    </row>
    <row r="956" ht="15.75" customHeight="1">
      <c r="I956" s="49"/>
      <c r="J956" s="49"/>
      <c r="K956" s="49"/>
      <c r="L956" s="49"/>
      <c r="M956" s="49"/>
      <c r="N956" s="49"/>
      <c r="O956" s="49"/>
      <c r="P956" s="49"/>
      <c r="Q956" s="49"/>
    </row>
    <row r="957" ht="15.75" customHeight="1">
      <c r="I957" s="49"/>
      <c r="J957" s="49"/>
      <c r="K957" s="49"/>
      <c r="L957" s="49"/>
      <c r="M957" s="49"/>
      <c r="N957" s="49"/>
      <c r="O957" s="49"/>
      <c r="P957" s="49"/>
      <c r="Q957" s="49"/>
    </row>
    <row r="958" ht="15.75" customHeight="1">
      <c r="I958" s="49"/>
      <c r="J958" s="49"/>
      <c r="K958" s="49"/>
      <c r="L958" s="49"/>
      <c r="M958" s="49"/>
      <c r="N958" s="49"/>
      <c r="O958" s="49"/>
      <c r="P958" s="49"/>
      <c r="Q958" s="49"/>
    </row>
    <row r="959" ht="15.75" customHeight="1">
      <c r="I959" s="49"/>
      <c r="J959" s="49"/>
      <c r="K959" s="49"/>
      <c r="L959" s="49"/>
      <c r="M959" s="49"/>
      <c r="N959" s="49"/>
      <c r="O959" s="49"/>
      <c r="P959" s="49"/>
      <c r="Q959" s="49"/>
    </row>
    <row r="960" ht="15.75" customHeight="1">
      <c r="I960" s="49"/>
      <c r="J960" s="49"/>
      <c r="K960" s="49"/>
      <c r="L960" s="49"/>
      <c r="M960" s="49"/>
      <c r="N960" s="49"/>
      <c r="O960" s="49"/>
      <c r="P960" s="49"/>
      <c r="Q960" s="49"/>
    </row>
    <row r="961" ht="15.75" customHeight="1">
      <c r="I961" s="49"/>
      <c r="J961" s="49"/>
      <c r="K961" s="49"/>
      <c r="L961" s="49"/>
      <c r="M961" s="49"/>
      <c r="N961" s="49"/>
      <c r="O961" s="49"/>
      <c r="P961" s="49"/>
      <c r="Q961" s="49"/>
    </row>
    <row r="962" ht="15.75" customHeight="1">
      <c r="I962" s="49"/>
      <c r="J962" s="49"/>
      <c r="K962" s="49"/>
      <c r="L962" s="49"/>
      <c r="M962" s="49"/>
      <c r="N962" s="49"/>
      <c r="O962" s="49"/>
      <c r="P962" s="49"/>
      <c r="Q962" s="49"/>
    </row>
    <row r="963" ht="15.75" customHeight="1">
      <c r="I963" s="49"/>
      <c r="J963" s="49"/>
      <c r="K963" s="49"/>
      <c r="L963" s="49"/>
      <c r="M963" s="49"/>
      <c r="N963" s="49"/>
      <c r="O963" s="49"/>
      <c r="P963" s="49"/>
      <c r="Q963" s="49"/>
    </row>
    <row r="964" ht="15.75" customHeight="1">
      <c r="I964" s="49"/>
      <c r="J964" s="49"/>
      <c r="K964" s="49"/>
      <c r="L964" s="49"/>
      <c r="M964" s="49"/>
      <c r="N964" s="49"/>
      <c r="O964" s="49"/>
      <c r="P964" s="49"/>
      <c r="Q964" s="49"/>
    </row>
    <row r="965" ht="15.75" customHeight="1">
      <c r="I965" s="49"/>
      <c r="J965" s="49"/>
      <c r="K965" s="49"/>
      <c r="L965" s="49"/>
      <c r="M965" s="49"/>
      <c r="N965" s="49"/>
      <c r="O965" s="49"/>
      <c r="P965" s="49"/>
      <c r="Q965" s="49"/>
    </row>
    <row r="966" ht="15.75" customHeight="1">
      <c r="I966" s="49"/>
      <c r="J966" s="49"/>
      <c r="K966" s="49"/>
      <c r="L966" s="49"/>
      <c r="M966" s="49"/>
      <c r="N966" s="49"/>
      <c r="O966" s="49"/>
      <c r="P966" s="49"/>
      <c r="Q966" s="49"/>
    </row>
    <row r="967" ht="15.75" customHeight="1">
      <c r="I967" s="49"/>
      <c r="J967" s="49"/>
      <c r="K967" s="49"/>
      <c r="L967" s="49"/>
      <c r="M967" s="49"/>
      <c r="N967" s="49"/>
      <c r="O967" s="49"/>
      <c r="P967" s="49"/>
      <c r="Q967" s="49"/>
    </row>
    <row r="968" ht="15.75" customHeight="1">
      <c r="I968" s="49"/>
      <c r="J968" s="49"/>
      <c r="K968" s="49"/>
      <c r="L968" s="49"/>
      <c r="M968" s="49"/>
      <c r="N968" s="49"/>
      <c r="O968" s="49"/>
      <c r="P968" s="49"/>
      <c r="Q968" s="49"/>
    </row>
    <row r="969" ht="15.75" customHeight="1">
      <c r="I969" s="49"/>
      <c r="J969" s="49"/>
      <c r="K969" s="49"/>
      <c r="L969" s="49"/>
      <c r="M969" s="49"/>
      <c r="N969" s="49"/>
      <c r="O969" s="49"/>
      <c r="P969" s="49"/>
      <c r="Q969" s="49"/>
    </row>
    <row r="970" ht="15.75" customHeight="1">
      <c r="I970" s="49"/>
      <c r="J970" s="49"/>
      <c r="K970" s="49"/>
      <c r="L970" s="49"/>
      <c r="M970" s="49"/>
      <c r="N970" s="49"/>
      <c r="O970" s="49"/>
      <c r="P970" s="49"/>
      <c r="Q970" s="49"/>
    </row>
    <row r="971" ht="15.75" customHeight="1">
      <c r="I971" s="49"/>
      <c r="J971" s="49"/>
      <c r="K971" s="49"/>
      <c r="L971" s="49"/>
      <c r="M971" s="49"/>
      <c r="N971" s="49"/>
      <c r="O971" s="49"/>
      <c r="P971" s="49"/>
      <c r="Q971" s="49"/>
    </row>
    <row r="972" ht="15.75" customHeight="1">
      <c r="I972" s="49"/>
      <c r="J972" s="49"/>
      <c r="K972" s="49"/>
      <c r="L972" s="49"/>
      <c r="M972" s="49"/>
      <c r="N972" s="49"/>
      <c r="O972" s="49"/>
      <c r="P972" s="49"/>
      <c r="Q972" s="49"/>
    </row>
    <row r="973" ht="15.75" customHeight="1">
      <c r="I973" s="49"/>
      <c r="J973" s="49"/>
      <c r="K973" s="49"/>
      <c r="L973" s="49"/>
      <c r="M973" s="49"/>
      <c r="N973" s="49"/>
      <c r="O973" s="49"/>
      <c r="P973" s="49"/>
      <c r="Q973" s="49"/>
    </row>
    <row r="974" ht="15.75" customHeight="1">
      <c r="I974" s="49"/>
      <c r="J974" s="49"/>
      <c r="K974" s="49"/>
      <c r="L974" s="49"/>
      <c r="M974" s="49"/>
      <c r="N974" s="49"/>
      <c r="O974" s="49"/>
      <c r="P974" s="49"/>
      <c r="Q974" s="49"/>
    </row>
    <row r="975" ht="15.75" customHeight="1">
      <c r="I975" s="49"/>
      <c r="J975" s="49"/>
      <c r="K975" s="49"/>
      <c r="L975" s="49"/>
      <c r="M975" s="49"/>
      <c r="N975" s="49"/>
      <c r="O975" s="49"/>
      <c r="P975" s="49"/>
      <c r="Q975" s="49"/>
    </row>
    <row r="976" ht="15.75" customHeight="1">
      <c r="I976" s="49"/>
      <c r="J976" s="49"/>
      <c r="K976" s="49"/>
      <c r="L976" s="49"/>
      <c r="M976" s="49"/>
      <c r="N976" s="49"/>
      <c r="O976" s="49"/>
      <c r="P976" s="49"/>
      <c r="Q976" s="49"/>
    </row>
    <row r="977" ht="15.75" customHeight="1">
      <c r="I977" s="49"/>
      <c r="J977" s="49"/>
      <c r="K977" s="49"/>
      <c r="L977" s="49"/>
      <c r="M977" s="49"/>
      <c r="N977" s="49"/>
      <c r="O977" s="49"/>
      <c r="P977" s="49"/>
      <c r="Q977" s="49"/>
    </row>
    <row r="978" ht="15.75" customHeight="1">
      <c r="I978" s="49"/>
      <c r="J978" s="49"/>
      <c r="K978" s="49"/>
      <c r="L978" s="49"/>
      <c r="M978" s="49"/>
      <c r="N978" s="49"/>
      <c r="O978" s="49"/>
      <c r="P978" s="49"/>
      <c r="Q978" s="49"/>
    </row>
    <row r="979" ht="15.75" customHeight="1">
      <c r="I979" s="49"/>
      <c r="J979" s="49"/>
      <c r="K979" s="49"/>
      <c r="L979" s="49"/>
      <c r="M979" s="49"/>
      <c r="N979" s="49"/>
      <c r="O979" s="49"/>
      <c r="P979" s="49"/>
      <c r="Q979" s="49"/>
    </row>
    <row r="980" ht="15.75" customHeight="1">
      <c r="I980" s="49"/>
      <c r="J980" s="49"/>
      <c r="K980" s="49"/>
      <c r="L980" s="49"/>
      <c r="M980" s="49"/>
      <c r="N980" s="49"/>
      <c r="O980" s="49"/>
      <c r="P980" s="49"/>
      <c r="Q980" s="49"/>
    </row>
    <row r="981" ht="15.75" customHeight="1">
      <c r="I981" s="49"/>
      <c r="J981" s="49"/>
      <c r="K981" s="49"/>
      <c r="L981" s="49"/>
      <c r="M981" s="49"/>
      <c r="N981" s="49"/>
      <c r="O981" s="49"/>
      <c r="P981" s="49"/>
      <c r="Q981" s="49"/>
    </row>
    <row r="982" ht="15.75" customHeight="1">
      <c r="I982" s="49"/>
      <c r="J982" s="49"/>
      <c r="K982" s="49"/>
      <c r="L982" s="49"/>
      <c r="M982" s="49"/>
      <c r="N982" s="49"/>
      <c r="O982" s="49"/>
      <c r="P982" s="49"/>
      <c r="Q982" s="49"/>
    </row>
    <row r="983" ht="15.75" customHeight="1">
      <c r="I983" s="49"/>
      <c r="J983" s="49"/>
      <c r="K983" s="49"/>
      <c r="L983" s="49"/>
      <c r="M983" s="49"/>
      <c r="N983" s="49"/>
      <c r="O983" s="49"/>
      <c r="P983" s="49"/>
      <c r="Q983" s="49"/>
    </row>
    <row r="984" ht="15.75" customHeight="1">
      <c r="I984" s="49"/>
      <c r="J984" s="49"/>
      <c r="K984" s="49"/>
      <c r="L984" s="49"/>
      <c r="M984" s="49"/>
      <c r="N984" s="49"/>
      <c r="O984" s="49"/>
      <c r="P984" s="49"/>
      <c r="Q984" s="49"/>
    </row>
    <row r="985" ht="15.75" customHeight="1">
      <c r="I985" s="49"/>
      <c r="J985" s="49"/>
      <c r="K985" s="49"/>
      <c r="L985" s="49"/>
      <c r="M985" s="49"/>
      <c r="N985" s="49"/>
      <c r="O985" s="49"/>
      <c r="P985" s="49"/>
      <c r="Q985" s="49"/>
    </row>
    <row r="986" ht="15.75" customHeight="1">
      <c r="I986" s="49"/>
      <c r="J986" s="49"/>
      <c r="K986" s="49"/>
      <c r="L986" s="49"/>
      <c r="M986" s="49"/>
      <c r="N986" s="49"/>
      <c r="O986" s="49"/>
      <c r="P986" s="49"/>
      <c r="Q986" s="49"/>
    </row>
    <row r="987" ht="15.75" customHeight="1">
      <c r="I987" s="49"/>
      <c r="J987" s="49"/>
      <c r="K987" s="49"/>
      <c r="L987" s="49"/>
      <c r="M987" s="49"/>
      <c r="N987" s="49"/>
      <c r="O987" s="49"/>
      <c r="P987" s="49"/>
      <c r="Q987" s="49"/>
    </row>
    <row r="988" ht="15.75" customHeight="1">
      <c r="I988" s="49"/>
      <c r="J988" s="49"/>
      <c r="K988" s="49"/>
      <c r="L988" s="49"/>
      <c r="M988" s="49"/>
      <c r="N988" s="49"/>
      <c r="O988" s="49"/>
      <c r="P988" s="49"/>
      <c r="Q988" s="49"/>
    </row>
    <row r="989" ht="15.75" customHeight="1">
      <c r="I989" s="49"/>
      <c r="J989" s="49"/>
      <c r="K989" s="49"/>
      <c r="L989" s="49"/>
      <c r="M989" s="49"/>
      <c r="N989" s="49"/>
      <c r="O989" s="49"/>
      <c r="P989" s="49"/>
      <c r="Q989" s="49"/>
    </row>
    <row r="990" ht="15.75" customHeight="1">
      <c r="I990" s="49"/>
      <c r="J990" s="49"/>
      <c r="K990" s="49"/>
      <c r="L990" s="49"/>
      <c r="M990" s="49"/>
      <c r="N990" s="49"/>
      <c r="O990" s="49"/>
      <c r="P990" s="49"/>
      <c r="Q990" s="49"/>
    </row>
    <row r="991" ht="15.75" customHeight="1">
      <c r="I991" s="49"/>
      <c r="J991" s="49"/>
      <c r="K991" s="49"/>
      <c r="L991" s="49"/>
      <c r="M991" s="49"/>
      <c r="N991" s="49"/>
      <c r="O991" s="49"/>
      <c r="P991" s="49"/>
      <c r="Q991" s="49"/>
    </row>
    <row r="992" ht="15.75" customHeight="1">
      <c r="I992" s="49"/>
      <c r="J992" s="49"/>
      <c r="K992" s="49"/>
      <c r="L992" s="49"/>
      <c r="M992" s="49"/>
      <c r="N992" s="49"/>
      <c r="O992" s="49"/>
      <c r="P992" s="49"/>
      <c r="Q992" s="49"/>
    </row>
    <row r="993" ht="15.75" customHeight="1">
      <c r="I993" s="49"/>
      <c r="J993" s="49"/>
      <c r="K993" s="49"/>
      <c r="L993" s="49"/>
      <c r="M993" s="49"/>
      <c r="N993" s="49"/>
      <c r="O993" s="49"/>
      <c r="P993" s="49"/>
      <c r="Q993" s="49"/>
    </row>
    <row r="994" ht="15.75" customHeight="1">
      <c r="I994" s="49"/>
      <c r="J994" s="49"/>
      <c r="K994" s="49"/>
      <c r="L994" s="49"/>
      <c r="M994" s="49"/>
      <c r="N994" s="49"/>
      <c r="O994" s="49"/>
      <c r="P994" s="49"/>
      <c r="Q994" s="49"/>
    </row>
    <row r="995" ht="15.75" customHeight="1">
      <c r="I995" s="49"/>
      <c r="J995" s="49"/>
      <c r="K995" s="49"/>
      <c r="L995" s="49"/>
      <c r="M995" s="49"/>
      <c r="N995" s="49"/>
      <c r="O995" s="49"/>
      <c r="P995" s="49"/>
      <c r="Q995" s="49"/>
    </row>
    <row r="996" ht="15.75" customHeight="1">
      <c r="I996" s="49"/>
      <c r="J996" s="49"/>
      <c r="K996" s="49"/>
      <c r="L996" s="49"/>
      <c r="M996" s="49"/>
      <c r="N996" s="49"/>
      <c r="O996" s="49"/>
      <c r="P996" s="49"/>
      <c r="Q996" s="49"/>
    </row>
    <row r="997" ht="15.75" customHeight="1">
      <c r="I997" s="49"/>
      <c r="J997" s="49"/>
      <c r="K997" s="49"/>
      <c r="L997" s="49"/>
      <c r="M997" s="49"/>
      <c r="N997" s="49"/>
      <c r="O997" s="49"/>
      <c r="P997" s="49"/>
      <c r="Q997" s="49"/>
    </row>
    <row r="998" ht="15.75" customHeight="1">
      <c r="I998" s="49"/>
      <c r="J998" s="49"/>
      <c r="K998" s="49"/>
      <c r="L998" s="49"/>
      <c r="M998" s="49"/>
      <c r="N998" s="49"/>
      <c r="O998" s="49"/>
      <c r="P998" s="49"/>
      <c r="Q998" s="49"/>
    </row>
    <row r="999" ht="15.75" customHeight="1">
      <c r="I999" s="49"/>
      <c r="J999" s="49"/>
      <c r="K999" s="49"/>
      <c r="L999" s="49"/>
      <c r="M999" s="49"/>
      <c r="N999" s="49"/>
      <c r="O999" s="49"/>
      <c r="P999" s="49"/>
      <c r="Q999" s="49"/>
    </row>
    <row r="1000" ht="15.75" customHeight="1">
      <c r="I1000" s="49"/>
      <c r="J1000" s="49"/>
      <c r="K1000" s="49"/>
      <c r="L1000" s="49"/>
      <c r="M1000" s="49"/>
      <c r="N1000" s="49"/>
      <c r="O1000" s="49"/>
      <c r="P1000" s="49"/>
      <c r="Q1000" s="49"/>
    </row>
  </sheetData>
  <mergeCells count="40">
    <mergeCell ref="B1:G1"/>
    <mergeCell ref="B2:C2"/>
    <mergeCell ref="B3:C3"/>
    <mergeCell ref="B4:C4"/>
    <mergeCell ref="B5:C5"/>
    <mergeCell ref="B6:C6"/>
    <mergeCell ref="K7:L7"/>
    <mergeCell ref="B7:C7"/>
    <mergeCell ref="B8:C8"/>
    <mergeCell ref="B9:C9"/>
    <mergeCell ref="B10:C10"/>
    <mergeCell ref="B11:C11"/>
    <mergeCell ref="B12:C12"/>
    <mergeCell ref="B13:C13"/>
    <mergeCell ref="E13:F13"/>
    <mergeCell ref="E14:F14"/>
    <mergeCell ref="E15:F15"/>
    <mergeCell ref="E16:F16"/>
    <mergeCell ref="E17:F17"/>
    <mergeCell ref="E18:F18"/>
    <mergeCell ref="E19:F19"/>
    <mergeCell ref="B23:G23"/>
    <mergeCell ref="B24:C24"/>
    <mergeCell ref="B25:C25"/>
    <mergeCell ref="B26:C26"/>
    <mergeCell ref="B27:C27"/>
    <mergeCell ref="B28:C28"/>
    <mergeCell ref="B29:C29"/>
    <mergeCell ref="E36:F36"/>
    <mergeCell ref="E37:F37"/>
    <mergeCell ref="E38:F38"/>
    <mergeCell ref="E39:F39"/>
    <mergeCell ref="E40:F40"/>
    <mergeCell ref="B30:C30"/>
    <mergeCell ref="B31:C31"/>
    <mergeCell ref="B32:C32"/>
    <mergeCell ref="B33:C33"/>
    <mergeCell ref="B34:C34"/>
    <mergeCell ref="E34:F34"/>
    <mergeCell ref="E35:F35"/>
  </mergeCells>
  <printOptions/>
  <pageMargins bottom="0.7480314960629921" footer="0.0" header="0.0" left="0.7086614173228347" right="0.7086614173228347" top="0.7480314960629921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7.29"/>
    <col customWidth="1" min="2" max="2" width="20.71"/>
    <col customWidth="1" min="3" max="3" width="14.43"/>
    <col customWidth="1" min="4" max="4" width="12.57"/>
    <col customWidth="1" min="5" max="5" width="11.57"/>
    <col customWidth="1" min="6" max="6" width="8.86"/>
    <col customWidth="1" min="7" max="7" width="9.71"/>
    <col customWidth="1" min="8" max="8" width="8.86"/>
    <col customWidth="1" min="9" max="9" width="11.71"/>
    <col customWidth="1" min="10" max="10" width="10.0"/>
    <col customWidth="1" min="11" max="11" width="11.0"/>
    <col customWidth="1" min="12" max="12" width="8.86"/>
    <col customWidth="1" min="13" max="13" width="33.14"/>
    <col customWidth="1" min="14" max="17" width="8.86"/>
    <col customWidth="1" min="18" max="18" width="11.57"/>
    <col customWidth="1" min="19" max="30" width="8.86"/>
  </cols>
  <sheetData>
    <row r="1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</row>
    <row r="2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</row>
    <row r="3">
      <c r="A3" s="272" t="s">
        <v>279</v>
      </c>
      <c r="B3" s="110"/>
      <c r="C3" s="110"/>
      <c r="D3" s="110"/>
      <c r="E3" s="110"/>
      <c r="F3" s="110"/>
      <c r="G3" s="110"/>
      <c r="H3" s="110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</row>
    <row r="4">
      <c r="A4" s="273" t="s">
        <v>216</v>
      </c>
      <c r="B4" s="262"/>
      <c r="C4" s="262"/>
      <c r="D4" s="262"/>
      <c r="E4" s="262"/>
      <c r="F4" s="262"/>
      <c r="G4" s="262"/>
      <c r="H4" s="288"/>
      <c r="I4" s="11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</row>
    <row r="5">
      <c r="A5" s="320" t="s">
        <v>4</v>
      </c>
      <c r="B5" s="320" t="s">
        <v>217</v>
      </c>
      <c r="C5" s="320" t="s">
        <v>9</v>
      </c>
      <c r="D5" s="36" t="s">
        <v>218</v>
      </c>
      <c r="E5" s="36" t="s">
        <v>219</v>
      </c>
      <c r="F5" s="36" t="s">
        <v>220</v>
      </c>
      <c r="G5" s="36" t="s">
        <v>221</v>
      </c>
      <c r="H5" s="36" t="s">
        <v>204</v>
      </c>
      <c r="I5" s="11" t="s">
        <v>280</v>
      </c>
      <c r="J5" s="39"/>
      <c r="K5" s="39"/>
      <c r="L5" s="39"/>
      <c r="M5" s="261" t="s">
        <v>2</v>
      </c>
      <c r="N5" s="262"/>
      <c r="O5" s="262"/>
      <c r="P5" s="262"/>
      <c r="Q5" s="262"/>
      <c r="R5" s="262"/>
      <c r="S5" s="81"/>
      <c r="T5" s="36"/>
      <c r="U5" s="39"/>
      <c r="V5" s="39"/>
      <c r="W5" s="39"/>
      <c r="X5" s="39"/>
      <c r="Y5" s="39"/>
      <c r="Z5" s="39"/>
      <c r="AA5" s="39"/>
      <c r="AB5" s="39"/>
      <c r="AC5" s="39"/>
      <c r="AD5" s="39"/>
    </row>
    <row r="6">
      <c r="A6" s="27" t="s">
        <v>17</v>
      </c>
      <c r="B6" s="85">
        <v>4001.0</v>
      </c>
      <c r="C6" s="50">
        <v>3161760.0</v>
      </c>
      <c r="D6" s="11">
        <v>49.0</v>
      </c>
      <c r="E6" s="11">
        <f t="shared" ref="E6:E16" si="1">+B6*D6/100</f>
        <v>1960.49</v>
      </c>
      <c r="F6" s="89">
        <f t="shared" ref="F6:F16" si="2">+C6/E6</f>
        <v>1612.739672</v>
      </c>
      <c r="G6" s="89" t="str">
        <f>+'REPORT DATA SHEET'!O58</f>
        <v>#DIV/0!</v>
      </c>
      <c r="H6" s="11" t="str">
        <f t="shared" ref="H6:H16" si="3">+F6-G6</f>
        <v>#DIV/0!</v>
      </c>
      <c r="I6" s="89">
        <f t="shared" ref="I6:I16" si="4">+C6/B6</f>
        <v>790.2424394</v>
      </c>
      <c r="J6" s="49"/>
      <c r="K6" s="49"/>
      <c r="L6" s="49"/>
      <c r="M6" s="36" t="s">
        <v>4</v>
      </c>
      <c r="N6" s="24" t="s">
        <v>5</v>
      </c>
      <c r="O6" s="29"/>
      <c r="P6" s="29" t="s">
        <v>6</v>
      </c>
      <c r="Q6" s="11" t="s">
        <v>8</v>
      </c>
      <c r="R6" s="11" t="s">
        <v>9</v>
      </c>
      <c r="S6" s="36" t="s">
        <v>281</v>
      </c>
      <c r="T6" s="11" t="s">
        <v>282</v>
      </c>
      <c r="U6" s="49"/>
      <c r="V6" s="49"/>
      <c r="W6" s="49"/>
      <c r="X6" s="49"/>
      <c r="Y6" s="49"/>
      <c r="Z6" s="49"/>
      <c r="AA6" s="49"/>
      <c r="AB6" s="49"/>
      <c r="AC6" s="49"/>
      <c r="AD6" s="49"/>
    </row>
    <row r="7">
      <c r="A7" s="27" t="s">
        <v>23</v>
      </c>
      <c r="B7" s="85">
        <v>6510.0</v>
      </c>
      <c r="C7" s="50">
        <v>6863170.0</v>
      </c>
      <c r="D7" s="11">
        <v>49.0</v>
      </c>
      <c r="E7" s="11">
        <f t="shared" si="1"/>
        <v>3189.9</v>
      </c>
      <c r="F7" s="89">
        <f t="shared" si="2"/>
        <v>2151.531396</v>
      </c>
      <c r="G7" s="89" t="str">
        <f t="shared" ref="G7:G16" si="5">+G6</f>
        <v>#DIV/0!</v>
      </c>
      <c r="H7" s="11" t="str">
        <f t="shared" si="3"/>
        <v>#DIV/0!</v>
      </c>
      <c r="I7" s="89">
        <f t="shared" si="4"/>
        <v>1054.250384</v>
      </c>
      <c r="J7" s="49"/>
      <c r="K7" s="49"/>
      <c r="L7" s="49"/>
      <c r="M7" s="27" t="s">
        <v>11</v>
      </c>
      <c r="N7" s="24">
        <v>9705.0</v>
      </c>
      <c r="O7" s="29">
        <v>50.0</v>
      </c>
      <c r="P7" s="30">
        <f t="shared" ref="P7:P18" si="6">+N7*O7/100</f>
        <v>4852.5</v>
      </c>
      <c r="Q7" s="321">
        <f t="shared" ref="Q7:Q22" si="7">(P7*100)/$P$24</f>
        <v>29.16235967</v>
      </c>
      <c r="R7" s="11">
        <v>1.5959398E7</v>
      </c>
      <c r="S7" s="89">
        <f t="shared" ref="S7:S10" si="8">+R7/P7</f>
        <v>3288.902215</v>
      </c>
      <c r="T7" s="89">
        <f>+S7/2</f>
        <v>1644.451108</v>
      </c>
      <c r="U7" s="49">
        <v>2845.0</v>
      </c>
      <c r="V7" s="63">
        <f t="shared" ref="V7:V9" si="9">+S7-U7</f>
        <v>443.9022154</v>
      </c>
      <c r="W7" s="49"/>
      <c r="X7" s="49"/>
      <c r="Y7" s="49"/>
      <c r="Z7" s="49"/>
      <c r="AA7" s="49"/>
      <c r="AB7" s="49"/>
      <c r="AC7" s="49"/>
      <c r="AD7" s="49"/>
    </row>
    <row r="8">
      <c r="A8" s="27" t="s">
        <v>13</v>
      </c>
      <c r="B8" s="85">
        <v>377.0</v>
      </c>
      <c r="C8" s="50">
        <v>367198.0</v>
      </c>
      <c r="D8" s="11">
        <v>30.0</v>
      </c>
      <c r="E8" s="11">
        <f t="shared" si="1"/>
        <v>113.1</v>
      </c>
      <c r="F8" s="89">
        <f t="shared" si="2"/>
        <v>3246.666667</v>
      </c>
      <c r="G8" s="89" t="str">
        <f t="shared" si="5"/>
        <v>#DIV/0!</v>
      </c>
      <c r="H8" s="11" t="str">
        <f t="shared" si="3"/>
        <v>#DIV/0!</v>
      </c>
      <c r="I8" s="89">
        <f t="shared" si="4"/>
        <v>974</v>
      </c>
      <c r="J8" s="49"/>
      <c r="K8" s="49"/>
      <c r="L8" s="49"/>
      <c r="M8" s="11" t="s">
        <v>13</v>
      </c>
      <c r="N8" s="24">
        <v>1457.0</v>
      </c>
      <c r="O8" s="29">
        <v>30.0</v>
      </c>
      <c r="P8" s="30">
        <f t="shared" si="6"/>
        <v>437.1</v>
      </c>
      <c r="Q8" s="321">
        <f t="shared" si="7"/>
        <v>2.62686603</v>
      </c>
      <c r="R8" s="11">
        <v>1430018.0</v>
      </c>
      <c r="S8" s="89">
        <f t="shared" si="8"/>
        <v>3271.603752</v>
      </c>
      <c r="T8" s="89">
        <f>+S8/100*30</f>
        <v>981.4811256</v>
      </c>
      <c r="U8" s="49">
        <v>2845.0</v>
      </c>
      <c r="V8" s="63">
        <f t="shared" si="9"/>
        <v>426.603752</v>
      </c>
      <c r="W8" s="49"/>
      <c r="X8" s="49"/>
      <c r="Y8" s="49"/>
      <c r="Z8" s="49"/>
      <c r="AA8" s="49"/>
      <c r="AB8" s="49"/>
      <c r="AC8" s="49"/>
      <c r="AD8" s="49"/>
    </row>
    <row r="9">
      <c r="A9" s="27" t="s">
        <v>11</v>
      </c>
      <c r="B9" s="85">
        <v>3626.0</v>
      </c>
      <c r="C9" s="50">
        <v>5899160.0</v>
      </c>
      <c r="D9" s="11">
        <v>50.0</v>
      </c>
      <c r="E9" s="11">
        <f t="shared" si="1"/>
        <v>1813</v>
      </c>
      <c r="F9" s="89">
        <f t="shared" si="2"/>
        <v>3253.811362</v>
      </c>
      <c r="G9" s="89" t="str">
        <f t="shared" si="5"/>
        <v>#DIV/0!</v>
      </c>
      <c r="H9" s="11" t="str">
        <f t="shared" si="3"/>
        <v>#DIV/0!</v>
      </c>
      <c r="I9" s="89">
        <f t="shared" si="4"/>
        <v>1626.905681</v>
      </c>
      <c r="J9" s="49"/>
      <c r="K9" s="49"/>
      <c r="L9" s="49"/>
      <c r="M9" s="11" t="s">
        <v>16</v>
      </c>
      <c r="N9" s="24">
        <v>3565.0</v>
      </c>
      <c r="O9" s="29">
        <v>50.0</v>
      </c>
      <c r="P9" s="30">
        <f t="shared" si="6"/>
        <v>1782.5</v>
      </c>
      <c r="Q9" s="321">
        <f t="shared" si="7"/>
        <v>10.71239693</v>
      </c>
      <c r="R9" s="11">
        <v>5443150.0</v>
      </c>
      <c r="S9" s="89">
        <f t="shared" si="8"/>
        <v>3053.660589</v>
      </c>
      <c r="T9" s="89">
        <f t="shared" ref="T9:T10" si="10">+S9/2</f>
        <v>1526.830295</v>
      </c>
      <c r="U9" s="49">
        <v>2845.0</v>
      </c>
      <c r="V9" s="63">
        <f t="shared" si="9"/>
        <v>208.6605891</v>
      </c>
      <c r="W9" s="49"/>
      <c r="X9" s="49"/>
      <c r="Y9" s="49"/>
      <c r="Z9" s="49"/>
      <c r="AA9" s="49"/>
      <c r="AB9" s="49"/>
      <c r="AC9" s="49"/>
      <c r="AD9" s="49"/>
    </row>
    <row r="10">
      <c r="A10" s="27" t="s">
        <v>27</v>
      </c>
      <c r="B10" s="85">
        <v>10.0</v>
      </c>
      <c r="C10" s="50">
        <v>10100.0</v>
      </c>
      <c r="D10" s="11">
        <v>30.0</v>
      </c>
      <c r="E10" s="11">
        <f t="shared" si="1"/>
        <v>3</v>
      </c>
      <c r="F10" s="89">
        <f t="shared" si="2"/>
        <v>3366.666667</v>
      </c>
      <c r="G10" s="89" t="str">
        <f t="shared" si="5"/>
        <v>#DIV/0!</v>
      </c>
      <c r="H10" s="11" t="str">
        <f t="shared" si="3"/>
        <v>#DIV/0!</v>
      </c>
      <c r="I10" s="89">
        <f t="shared" si="4"/>
        <v>1010</v>
      </c>
      <c r="J10" s="49"/>
      <c r="K10" s="49"/>
      <c r="L10" s="49"/>
      <c r="M10" s="11" t="s">
        <v>189</v>
      </c>
      <c r="N10" s="24">
        <v>1184.0</v>
      </c>
      <c r="O10" s="49">
        <v>50.0</v>
      </c>
      <c r="P10" s="30">
        <f t="shared" si="6"/>
        <v>592</v>
      </c>
      <c r="Q10" s="321">
        <f t="shared" si="7"/>
        <v>3.557777831</v>
      </c>
      <c r="R10" s="11">
        <v>1933395.0</v>
      </c>
      <c r="S10" s="89">
        <f t="shared" si="8"/>
        <v>3265.869932</v>
      </c>
      <c r="T10" s="89">
        <f t="shared" si="10"/>
        <v>1632.934966</v>
      </c>
      <c r="U10" s="11" t="s">
        <v>19</v>
      </c>
      <c r="V10" s="24" t="str">
        <f>+VLOOKUP(U10,[1]Sheet3!$A$4:$B$14,2,0)</f>
        <v>#ERROR!</v>
      </c>
      <c r="W10" s="29">
        <v>50.0</v>
      </c>
      <c r="X10" s="30" t="str">
        <f>+V10*W10/100</f>
        <v>#ERROR!</v>
      </c>
      <c r="Y10" s="321" t="str">
        <f>(X10*100)/$P$24</f>
        <v>#ERROR!</v>
      </c>
      <c r="Z10" s="11" t="str">
        <f>+VLOOKUP(U10,[1]Sheet3!$A$4:$C$14,3,0)</f>
        <v>#ERROR!</v>
      </c>
      <c r="AA10" s="89" t="str">
        <f>+Z10/X10</f>
        <v>#ERROR!</v>
      </c>
      <c r="AB10" s="89" t="str">
        <f>+AA10/2</f>
        <v>#ERROR!</v>
      </c>
      <c r="AC10" s="49">
        <v>2845.0</v>
      </c>
      <c r="AD10" s="63" t="str">
        <f>+AA10-AC10</f>
        <v>#ERROR!</v>
      </c>
    </row>
    <row r="11">
      <c r="A11" s="27" t="s">
        <v>25</v>
      </c>
      <c r="B11" s="85">
        <v>170.0</v>
      </c>
      <c r="C11" s="50">
        <v>285450.0</v>
      </c>
      <c r="D11" s="11">
        <v>50.0</v>
      </c>
      <c r="E11" s="11">
        <f t="shared" si="1"/>
        <v>85</v>
      </c>
      <c r="F11" s="89">
        <f t="shared" si="2"/>
        <v>3358.235294</v>
      </c>
      <c r="G11" s="89" t="str">
        <f t="shared" si="5"/>
        <v>#DIV/0!</v>
      </c>
      <c r="H11" s="11" t="str">
        <f t="shared" si="3"/>
        <v>#DIV/0!</v>
      </c>
      <c r="I11" s="89">
        <f t="shared" si="4"/>
        <v>1679.117647</v>
      </c>
      <c r="J11" s="49"/>
      <c r="K11" s="49"/>
      <c r="L11" s="49"/>
      <c r="M11" s="21" t="s">
        <v>19</v>
      </c>
      <c r="N11" s="24">
        <v>867.0</v>
      </c>
      <c r="O11" s="49">
        <v>50.0</v>
      </c>
      <c r="P11" s="30">
        <f t="shared" si="6"/>
        <v>433.5</v>
      </c>
      <c r="Q11" s="321">
        <f t="shared" si="7"/>
        <v>2.605230895</v>
      </c>
      <c r="R11" s="11">
        <v>1503920.0</v>
      </c>
      <c r="S11" s="89"/>
      <c r="T11" s="89"/>
      <c r="U11" s="49"/>
      <c r="V11" s="63">
        <f t="shared" ref="V11:V12" si="11">+S12-U12</f>
        <v>628.3489461</v>
      </c>
      <c r="W11" s="49"/>
      <c r="X11" s="49"/>
      <c r="Y11" s="49"/>
      <c r="Z11" s="49"/>
      <c r="AA11" s="49"/>
      <c r="AB11" s="49"/>
      <c r="AC11" s="49"/>
      <c r="AD11" s="49"/>
    </row>
    <row r="12">
      <c r="A12" s="27" t="s">
        <v>16</v>
      </c>
      <c r="B12" s="85">
        <v>3025.0</v>
      </c>
      <c r="C12" s="50">
        <v>4599500.0</v>
      </c>
      <c r="D12" s="11">
        <v>50.0</v>
      </c>
      <c r="E12" s="11">
        <f t="shared" si="1"/>
        <v>1512.5</v>
      </c>
      <c r="F12" s="89">
        <f t="shared" si="2"/>
        <v>3040.991736</v>
      </c>
      <c r="G12" s="89" t="str">
        <f t="shared" si="5"/>
        <v>#DIV/0!</v>
      </c>
      <c r="H12" s="11" t="str">
        <f t="shared" si="3"/>
        <v>#DIV/0!</v>
      </c>
      <c r="I12" s="89">
        <f t="shared" si="4"/>
        <v>1520.495868</v>
      </c>
      <c r="J12" s="49"/>
      <c r="K12" s="49"/>
      <c r="L12" s="49"/>
      <c r="M12" s="27" t="s">
        <v>22</v>
      </c>
      <c r="N12" s="24">
        <v>1281.0</v>
      </c>
      <c r="O12" s="29">
        <v>30.0</v>
      </c>
      <c r="P12" s="30">
        <f t="shared" si="6"/>
        <v>384.3</v>
      </c>
      <c r="Q12" s="321">
        <f t="shared" si="7"/>
        <v>2.30955071</v>
      </c>
      <c r="R12" s="11">
        <v>1334808.0</v>
      </c>
      <c r="S12" s="89">
        <f t="shared" ref="S12:S15" si="12">+R12/P12</f>
        <v>3473.348946</v>
      </c>
      <c r="T12" s="89">
        <f>+S12/100*30</f>
        <v>1042.004684</v>
      </c>
      <c r="U12" s="49">
        <v>2845.0</v>
      </c>
      <c r="V12" s="63">
        <f t="shared" si="11"/>
        <v>587.0817757</v>
      </c>
      <c r="W12" s="49"/>
      <c r="X12" s="49"/>
      <c r="Y12" s="49"/>
      <c r="Z12" s="49"/>
      <c r="AA12" s="49"/>
      <c r="AB12" s="49"/>
      <c r="AC12" s="49"/>
      <c r="AD12" s="49"/>
    </row>
    <row r="13">
      <c r="A13" s="27" t="s">
        <v>22</v>
      </c>
      <c r="B13" s="85">
        <v>10.0</v>
      </c>
      <c r="C13" s="50">
        <v>10100.0</v>
      </c>
      <c r="D13" s="11">
        <v>30.0</v>
      </c>
      <c r="E13" s="11">
        <f t="shared" si="1"/>
        <v>3</v>
      </c>
      <c r="F13" s="89">
        <f t="shared" si="2"/>
        <v>3366.666667</v>
      </c>
      <c r="G13" s="89" t="str">
        <f t="shared" si="5"/>
        <v>#DIV/0!</v>
      </c>
      <c r="H13" s="11" t="str">
        <f t="shared" si="3"/>
        <v>#DIV/0!</v>
      </c>
      <c r="I13" s="89">
        <f t="shared" si="4"/>
        <v>1010</v>
      </c>
      <c r="J13" s="49"/>
      <c r="K13" s="49"/>
      <c r="L13" s="49"/>
      <c r="M13" s="11" t="s">
        <v>25</v>
      </c>
      <c r="N13" s="24">
        <v>1712.0</v>
      </c>
      <c r="O13" s="29">
        <v>50.0</v>
      </c>
      <c r="P13" s="30">
        <f t="shared" si="6"/>
        <v>856</v>
      </c>
      <c r="Q13" s="321">
        <f t="shared" si="7"/>
        <v>5.144354432</v>
      </c>
      <c r="R13" s="11">
        <v>2937862.0</v>
      </c>
      <c r="S13" s="89">
        <f t="shared" si="12"/>
        <v>3432.081776</v>
      </c>
      <c r="T13" s="89">
        <f>+S13/2</f>
        <v>1716.040888</v>
      </c>
      <c r="U13" s="49">
        <v>2845.0</v>
      </c>
      <c r="V13" s="63">
        <f>+S14-U18</f>
        <v>635.3921569</v>
      </c>
      <c r="W13" s="49"/>
      <c r="X13" s="49"/>
      <c r="Y13" s="49"/>
      <c r="Z13" s="49"/>
      <c r="AA13" s="49"/>
      <c r="AB13" s="49"/>
      <c r="AC13" s="49"/>
      <c r="AD13" s="49"/>
    </row>
    <row r="14">
      <c r="A14" s="27" t="s">
        <v>19</v>
      </c>
      <c r="B14" s="85">
        <v>105.0</v>
      </c>
      <c r="C14" s="50">
        <v>177400.0</v>
      </c>
      <c r="D14" s="11">
        <v>50.0</v>
      </c>
      <c r="E14" s="11">
        <f t="shared" si="1"/>
        <v>52.5</v>
      </c>
      <c r="F14" s="89">
        <f t="shared" si="2"/>
        <v>3379.047619</v>
      </c>
      <c r="G14" s="89" t="str">
        <f t="shared" si="5"/>
        <v>#DIV/0!</v>
      </c>
      <c r="H14" s="11" t="str">
        <f t="shared" si="3"/>
        <v>#DIV/0!</v>
      </c>
      <c r="I14" s="89">
        <f t="shared" si="4"/>
        <v>1689.52381</v>
      </c>
      <c r="J14" s="49"/>
      <c r="K14" s="49"/>
      <c r="L14" s="49"/>
      <c r="M14" s="27" t="s">
        <v>27</v>
      </c>
      <c r="N14" s="24">
        <v>425.0</v>
      </c>
      <c r="O14" s="29">
        <v>30.0</v>
      </c>
      <c r="P14" s="30">
        <f t="shared" si="6"/>
        <v>127.5</v>
      </c>
      <c r="Q14" s="321">
        <f t="shared" si="7"/>
        <v>0.7662443809</v>
      </c>
      <c r="R14" s="11">
        <v>443750.0</v>
      </c>
      <c r="S14" s="89">
        <f t="shared" si="12"/>
        <v>3480.392157</v>
      </c>
      <c r="T14" s="89">
        <f>+S14/100*30</f>
        <v>1044.117647</v>
      </c>
      <c r="U14" s="49"/>
      <c r="V14" s="63"/>
      <c r="W14" s="49"/>
      <c r="X14" s="49"/>
      <c r="Y14" s="49"/>
      <c r="Z14" s="49"/>
      <c r="AA14" s="49"/>
      <c r="AB14" s="49"/>
      <c r="AC14" s="49"/>
      <c r="AD14" s="49"/>
    </row>
    <row r="15">
      <c r="A15" s="27" t="s">
        <v>29</v>
      </c>
      <c r="B15" s="85">
        <v>70.0</v>
      </c>
      <c r="C15" s="50">
        <v>117850.0</v>
      </c>
      <c r="D15" s="11">
        <v>50.0</v>
      </c>
      <c r="E15" s="11">
        <f t="shared" si="1"/>
        <v>35</v>
      </c>
      <c r="F15" s="89">
        <f t="shared" si="2"/>
        <v>3367.142857</v>
      </c>
      <c r="G15" s="89" t="str">
        <f t="shared" si="5"/>
        <v>#DIV/0!</v>
      </c>
      <c r="H15" s="11" t="str">
        <f t="shared" si="3"/>
        <v>#DIV/0!</v>
      </c>
      <c r="I15" s="89">
        <f t="shared" si="4"/>
        <v>1683.571429</v>
      </c>
      <c r="J15" s="49"/>
      <c r="K15" s="49"/>
      <c r="L15" s="49"/>
      <c r="M15" s="27" t="s">
        <v>29</v>
      </c>
      <c r="N15" s="24">
        <v>1190.0</v>
      </c>
      <c r="O15" s="29">
        <v>50.0</v>
      </c>
      <c r="P15" s="30">
        <f t="shared" si="6"/>
        <v>595</v>
      </c>
      <c r="Q15" s="321">
        <f t="shared" si="7"/>
        <v>3.575807111</v>
      </c>
      <c r="R15" s="11">
        <v>2082590.0</v>
      </c>
      <c r="S15" s="89">
        <f t="shared" si="12"/>
        <v>3500.151261</v>
      </c>
      <c r="T15" s="89">
        <f>+S15/2</f>
        <v>1750.07563</v>
      </c>
      <c r="U15" s="49"/>
      <c r="V15" s="63"/>
      <c r="W15" s="49"/>
      <c r="X15" s="49"/>
      <c r="Y15" s="49"/>
      <c r="Z15" s="49"/>
      <c r="AA15" s="49"/>
      <c r="AB15" s="49"/>
      <c r="AC15" s="49"/>
      <c r="AD15" s="49"/>
    </row>
    <row r="16">
      <c r="A16" s="27" t="s">
        <v>189</v>
      </c>
      <c r="B16" s="85">
        <v>469.0</v>
      </c>
      <c r="C16" s="50">
        <v>749395.0</v>
      </c>
      <c r="D16" s="11">
        <v>50.0</v>
      </c>
      <c r="E16" s="11">
        <f t="shared" si="1"/>
        <v>234.5</v>
      </c>
      <c r="F16" s="89">
        <f t="shared" si="2"/>
        <v>3195.714286</v>
      </c>
      <c r="G16" s="89" t="str">
        <f t="shared" si="5"/>
        <v>#DIV/0!</v>
      </c>
      <c r="H16" s="11" t="str">
        <f t="shared" si="3"/>
        <v>#DIV/0!</v>
      </c>
      <c r="I16" s="89">
        <f t="shared" si="4"/>
        <v>1597.857143</v>
      </c>
      <c r="J16" s="49"/>
      <c r="K16" s="49"/>
      <c r="L16" s="49"/>
      <c r="M16" s="36" t="s">
        <v>31</v>
      </c>
      <c r="N16" s="24">
        <v>0.0</v>
      </c>
      <c r="O16" s="29">
        <v>50.0</v>
      </c>
      <c r="P16" s="30">
        <f t="shared" si="6"/>
        <v>0</v>
      </c>
      <c r="Q16" s="321">
        <f t="shared" si="7"/>
        <v>0</v>
      </c>
      <c r="R16" s="11">
        <v>0.0</v>
      </c>
      <c r="S16" s="89">
        <v>0.0</v>
      </c>
      <c r="T16" s="89"/>
      <c r="U16" s="49"/>
      <c r="V16" s="63"/>
      <c r="W16" s="49"/>
      <c r="X16" s="49"/>
      <c r="Y16" s="49"/>
      <c r="Z16" s="49"/>
      <c r="AA16" s="49"/>
      <c r="AB16" s="49"/>
      <c r="AC16" s="49"/>
      <c r="AD16" s="49"/>
    </row>
    <row r="17">
      <c r="A17" s="27"/>
      <c r="B17" s="85"/>
      <c r="C17" s="50"/>
      <c r="D17" s="11"/>
      <c r="E17" s="11"/>
      <c r="F17" s="89"/>
      <c r="G17" s="89"/>
      <c r="H17" s="11"/>
      <c r="I17" s="89"/>
      <c r="J17" s="49"/>
      <c r="K17" s="49"/>
      <c r="L17" s="49"/>
      <c r="M17" s="36" t="s">
        <v>32</v>
      </c>
      <c r="N17" s="24">
        <v>0.0</v>
      </c>
      <c r="O17" s="29">
        <v>30.0</v>
      </c>
      <c r="P17" s="30">
        <f t="shared" si="6"/>
        <v>0</v>
      </c>
      <c r="Q17" s="321">
        <f t="shared" si="7"/>
        <v>0</v>
      </c>
      <c r="R17" s="11">
        <v>0.0</v>
      </c>
      <c r="S17" s="89">
        <v>0.0</v>
      </c>
      <c r="T17" s="89"/>
      <c r="U17" s="49"/>
      <c r="V17" s="63"/>
      <c r="W17" s="49"/>
      <c r="X17" s="49"/>
      <c r="Y17" s="49"/>
      <c r="Z17" s="49"/>
      <c r="AA17" s="49"/>
      <c r="AB17" s="49"/>
      <c r="AC17" s="49"/>
      <c r="AD17" s="49"/>
    </row>
    <row r="18">
      <c r="A18" s="27"/>
      <c r="B18" s="85"/>
      <c r="C18" s="50"/>
      <c r="D18" s="11"/>
      <c r="E18" s="11">
        <f>+B18*D18/100</f>
        <v>0</v>
      </c>
      <c r="F18" s="89"/>
      <c r="G18" s="89"/>
      <c r="H18" s="11"/>
      <c r="I18" s="89"/>
      <c r="J18" s="49"/>
      <c r="K18" s="49"/>
      <c r="L18" s="49"/>
      <c r="M18" s="36" t="s">
        <v>261</v>
      </c>
      <c r="N18" s="24">
        <v>0.0</v>
      </c>
      <c r="O18" s="29">
        <v>5.0</v>
      </c>
      <c r="P18" s="30">
        <f t="shared" si="6"/>
        <v>0</v>
      </c>
      <c r="Q18" s="321">
        <f t="shared" si="7"/>
        <v>0</v>
      </c>
      <c r="R18" s="11">
        <v>0.0</v>
      </c>
      <c r="S18" s="89">
        <v>0.0</v>
      </c>
      <c r="T18" s="89"/>
      <c r="U18" s="49">
        <v>2845.0</v>
      </c>
      <c r="V18" s="63">
        <f t="shared" ref="V18:V24" si="13">+S15-U19</f>
        <v>655.1512605</v>
      </c>
      <c r="W18" s="49"/>
      <c r="X18" s="49"/>
      <c r="Y18" s="49"/>
      <c r="Z18" s="49"/>
      <c r="AA18" s="49"/>
      <c r="AB18" s="49"/>
      <c r="AC18" s="49"/>
      <c r="AD18" s="49"/>
    </row>
    <row r="19">
      <c r="A19" s="21"/>
      <c r="B19" s="49"/>
      <c r="C19" s="22"/>
      <c r="D19" s="188"/>
      <c r="E19" s="188"/>
      <c r="F19" s="188"/>
      <c r="G19" s="188"/>
      <c r="H19" s="188"/>
      <c r="I19" s="188"/>
      <c r="J19" s="49"/>
      <c r="K19" s="49"/>
      <c r="L19" s="49"/>
      <c r="M19" s="11" t="s">
        <v>20</v>
      </c>
      <c r="N19" s="24">
        <v>15.0</v>
      </c>
      <c r="O19" s="29">
        <v>39.0</v>
      </c>
      <c r="P19" s="30">
        <f>+N19*0.39</f>
        <v>5.85</v>
      </c>
      <c r="Q19" s="321">
        <f t="shared" si="7"/>
        <v>0.03515709512</v>
      </c>
      <c r="R19" s="11">
        <v>12750.0</v>
      </c>
      <c r="S19" s="89">
        <f t="shared" ref="S19:S21" si="14">+R19/P19</f>
        <v>2179.487179</v>
      </c>
      <c r="T19" s="89">
        <f>+S19/100*39</f>
        <v>850</v>
      </c>
      <c r="U19" s="49">
        <v>2845.0</v>
      </c>
      <c r="V19" s="63">
        <f t="shared" si="13"/>
        <v>0</v>
      </c>
      <c r="W19" s="49"/>
      <c r="X19" s="49"/>
      <c r="Y19" s="49"/>
      <c r="Z19" s="49"/>
      <c r="AA19" s="49"/>
      <c r="AB19" s="49"/>
      <c r="AC19" s="49"/>
      <c r="AD19" s="49"/>
    </row>
    <row r="20">
      <c r="A20" s="282" t="s">
        <v>39</v>
      </c>
      <c r="B20" s="283">
        <f>SUM(B6:B19)</f>
        <v>18373</v>
      </c>
      <c r="C20" s="283">
        <f>SUM(C6:C18)</f>
        <v>22241083</v>
      </c>
      <c r="D20" s="284"/>
      <c r="E20" s="284">
        <f>SUM(E6:E19)</f>
        <v>9001.99</v>
      </c>
      <c r="F20" s="284">
        <f>+C20/E20</f>
        <v>2470.685149</v>
      </c>
      <c r="G20" s="285" t="str">
        <f>+G6</f>
        <v>#DIV/0!</v>
      </c>
      <c r="H20" s="285" t="str">
        <f>+F20-G20</f>
        <v>#DIV/0!</v>
      </c>
      <c r="I20" s="89">
        <f>+C20/B20</f>
        <v>1210.530833</v>
      </c>
      <c r="J20" s="49"/>
      <c r="K20" s="49"/>
      <c r="L20" s="49"/>
      <c r="M20" s="97" t="s">
        <v>17</v>
      </c>
      <c r="N20" s="24">
        <v>4881.0</v>
      </c>
      <c r="O20" s="29">
        <v>49.0</v>
      </c>
      <c r="P20" s="30">
        <f t="shared" ref="P20:P22" si="15">+N20*O20/100</f>
        <v>2391.69</v>
      </c>
      <c r="Q20" s="321">
        <f t="shared" si="7"/>
        <v>14.37348254</v>
      </c>
      <c r="R20" s="11">
        <v>3792660.0</v>
      </c>
      <c r="S20" s="89">
        <f t="shared" si="14"/>
        <v>1585.765714</v>
      </c>
      <c r="T20" s="89">
        <f t="shared" ref="T20:T21" si="16">+S20/100*49</f>
        <v>777.0251998</v>
      </c>
      <c r="U20" s="49">
        <v>0.0</v>
      </c>
      <c r="V20" s="63">
        <f t="shared" si="13"/>
        <v>0</v>
      </c>
      <c r="W20" s="49"/>
      <c r="X20" s="49"/>
      <c r="Y20" s="49"/>
      <c r="Z20" s="49"/>
      <c r="AA20" s="49"/>
      <c r="AB20" s="49"/>
      <c r="AC20" s="49"/>
      <c r="AD20" s="49"/>
    </row>
    <row r="21" ht="15.75" customHeight="1">
      <c r="A21" s="18"/>
      <c r="B21" s="287"/>
      <c r="C21" s="32"/>
      <c r="D21" s="11"/>
      <c r="E21" s="11"/>
      <c r="F21" s="11"/>
      <c r="G21" s="11"/>
      <c r="H21" s="11"/>
      <c r="I21" s="49"/>
      <c r="J21" s="49"/>
      <c r="K21" s="49"/>
      <c r="L21" s="49"/>
      <c r="M21" s="34" t="s">
        <v>23</v>
      </c>
      <c r="N21" s="24">
        <v>8534.0</v>
      </c>
      <c r="O21" s="29">
        <v>49.0</v>
      </c>
      <c r="P21" s="30">
        <f t="shared" si="15"/>
        <v>4181.66</v>
      </c>
      <c r="Q21" s="321">
        <f t="shared" si="7"/>
        <v>25.13077237</v>
      </c>
      <c r="R21" s="11">
        <v>8966100.0</v>
      </c>
      <c r="S21" s="89">
        <f t="shared" si="14"/>
        <v>2144.148496</v>
      </c>
      <c r="T21" s="89">
        <f t="shared" si="16"/>
        <v>1050.632763</v>
      </c>
      <c r="U21" s="49">
        <v>0.0</v>
      </c>
      <c r="V21" s="63">
        <f t="shared" si="13"/>
        <v>0</v>
      </c>
      <c r="W21" s="49"/>
      <c r="X21" s="49"/>
      <c r="Y21" s="49"/>
      <c r="Z21" s="49"/>
      <c r="AA21" s="49"/>
      <c r="AB21" s="49"/>
      <c r="AC21" s="49"/>
      <c r="AD21" s="49"/>
    </row>
    <row r="22" ht="14.25" customHeight="1">
      <c r="A22" s="18"/>
      <c r="B22" s="287"/>
      <c r="C22" s="32"/>
      <c r="D22" s="11"/>
      <c r="E22" s="11"/>
      <c r="F22" s="11"/>
      <c r="G22" s="11"/>
      <c r="H22" s="11"/>
      <c r="I22" s="49"/>
      <c r="J22" s="49"/>
      <c r="K22" s="49"/>
      <c r="L22" s="49"/>
      <c r="M22" s="36" t="s">
        <v>206</v>
      </c>
      <c r="N22" s="24">
        <v>0.0</v>
      </c>
      <c r="O22" s="29">
        <v>49.0</v>
      </c>
      <c r="P22" s="30">
        <f t="shared" si="15"/>
        <v>0</v>
      </c>
      <c r="Q22" s="321">
        <f t="shared" si="7"/>
        <v>0</v>
      </c>
      <c r="R22" s="11">
        <v>0.0</v>
      </c>
      <c r="S22" s="11">
        <v>0.0</v>
      </c>
      <c r="T22" s="11"/>
      <c r="U22" s="49">
        <v>0.0</v>
      </c>
      <c r="V22" s="63">
        <f t="shared" si="13"/>
        <v>2179.487179</v>
      </c>
      <c r="W22" s="49"/>
      <c r="X22" s="49"/>
      <c r="Y22" s="49"/>
      <c r="Z22" s="49"/>
      <c r="AA22" s="49"/>
      <c r="AB22" s="49"/>
      <c r="AC22" s="49"/>
      <c r="AD22" s="49"/>
    </row>
    <row r="23" ht="14.25" customHeight="1">
      <c r="A23" s="322" t="s">
        <v>223</v>
      </c>
      <c r="B23" s="323"/>
      <c r="C23" s="323"/>
      <c r="D23" s="323"/>
      <c r="E23" s="323"/>
      <c r="F23" s="323"/>
      <c r="G23" s="323"/>
      <c r="H23" s="324"/>
      <c r="I23" s="49"/>
      <c r="J23" s="49"/>
      <c r="K23" s="49"/>
      <c r="L23" s="49"/>
      <c r="M23" s="36"/>
      <c r="N23" s="24"/>
      <c r="O23" s="29"/>
      <c r="P23" s="30"/>
      <c r="Q23" s="321"/>
      <c r="R23" s="11">
        <v>0.0</v>
      </c>
      <c r="S23" s="11"/>
      <c r="T23" s="11"/>
      <c r="U23" s="49">
        <v>0.0</v>
      </c>
      <c r="V23" s="63">
        <f t="shared" si="13"/>
        <v>-1259.234286</v>
      </c>
      <c r="W23" s="49"/>
      <c r="X23" s="49"/>
      <c r="Y23" s="49"/>
      <c r="Z23" s="49"/>
      <c r="AA23" s="49"/>
      <c r="AB23" s="49"/>
      <c r="AC23" s="49"/>
      <c r="AD23" s="49"/>
    </row>
    <row r="24" ht="14.25" customHeight="1">
      <c r="A24" s="274" t="s">
        <v>4</v>
      </c>
      <c r="B24" s="275" t="s">
        <v>217</v>
      </c>
      <c r="C24" s="276" t="s">
        <v>9</v>
      </c>
      <c r="D24" s="36" t="s">
        <v>218</v>
      </c>
      <c r="E24" s="36" t="s">
        <v>219</v>
      </c>
      <c r="F24" s="36" t="s">
        <v>220</v>
      </c>
      <c r="G24" s="36" t="s">
        <v>221</v>
      </c>
      <c r="H24" s="36" t="s">
        <v>204</v>
      </c>
      <c r="I24" s="11" t="s">
        <v>280</v>
      </c>
      <c r="J24" s="49"/>
      <c r="K24" s="49"/>
      <c r="L24" s="49"/>
      <c r="M24" s="11" t="s">
        <v>39</v>
      </c>
      <c r="N24" s="24">
        <f>SUM(N7:N23)</f>
        <v>34816</v>
      </c>
      <c r="O24" s="24"/>
      <c r="P24" s="132">
        <f>SUM(P7:P22)</f>
        <v>16639.6</v>
      </c>
      <c r="Q24" s="58">
        <f>SUM(Q6:Q22)</f>
        <v>100</v>
      </c>
      <c r="R24" s="132">
        <f>SUM(R7:R22)</f>
        <v>45840401</v>
      </c>
      <c r="S24" s="325">
        <f>+R24/P24</f>
        <v>2754.898014</v>
      </c>
      <c r="T24" s="11"/>
      <c r="U24" s="49">
        <v>2845.0</v>
      </c>
      <c r="V24" s="63">
        <f t="shared" si="13"/>
        <v>-700.8515039</v>
      </c>
      <c r="W24" s="49"/>
      <c r="X24" s="49"/>
      <c r="Y24" s="49"/>
      <c r="Z24" s="49"/>
      <c r="AA24" s="49"/>
      <c r="AB24" s="49"/>
      <c r="AC24" s="49"/>
      <c r="AD24" s="49"/>
    </row>
    <row r="25" ht="14.25" customHeight="1">
      <c r="A25" s="27" t="s">
        <v>17</v>
      </c>
      <c r="B25" s="85">
        <v>530.0</v>
      </c>
      <c r="C25" s="50">
        <v>373650.0</v>
      </c>
      <c r="D25" s="11">
        <v>49.0</v>
      </c>
      <c r="E25" s="11">
        <f t="shared" ref="E25:E36" si="17">+B25*D25/100</f>
        <v>259.7</v>
      </c>
      <c r="F25" s="89">
        <f t="shared" ref="F25:F36" si="18">+C25/E25</f>
        <v>1438.77551</v>
      </c>
      <c r="G25" s="89" t="str">
        <f>+G20</f>
        <v>#DIV/0!</v>
      </c>
      <c r="H25" s="92" t="str">
        <f t="shared" ref="H25:H36" si="19">+F25-G25</f>
        <v>#DIV/0!</v>
      </c>
      <c r="I25" s="89">
        <f t="shared" ref="I25:I36" si="20">+C25/B25</f>
        <v>705</v>
      </c>
      <c r="J25" s="49"/>
      <c r="K25" s="49"/>
      <c r="L25" s="49"/>
      <c r="M25" s="49"/>
      <c r="N25" s="49">
        <v>0.0</v>
      </c>
      <c r="O25" s="49"/>
      <c r="P25" s="49">
        <f>+R24/P24</f>
        <v>2754.898014</v>
      </c>
      <c r="Q25" s="49"/>
      <c r="R25" s="11">
        <v>0.0</v>
      </c>
      <c r="S25" s="49"/>
      <c r="T25" s="49"/>
      <c r="U25" s="49">
        <v>2845.0</v>
      </c>
      <c r="V25" s="49"/>
      <c r="W25" s="49"/>
      <c r="X25" s="49"/>
      <c r="Y25" s="49"/>
      <c r="Z25" s="49"/>
      <c r="AA25" s="49"/>
      <c r="AB25" s="49"/>
      <c r="AC25" s="49"/>
      <c r="AD25" s="49"/>
    </row>
    <row r="26" ht="14.25" customHeight="1">
      <c r="A26" s="27" t="s">
        <v>20</v>
      </c>
      <c r="B26" s="85">
        <v>15.0</v>
      </c>
      <c r="C26" s="50">
        <v>12750.0</v>
      </c>
      <c r="D26" s="11">
        <v>39.0</v>
      </c>
      <c r="E26" s="11">
        <f t="shared" si="17"/>
        <v>5.85</v>
      </c>
      <c r="F26" s="89">
        <f t="shared" si="18"/>
        <v>2179.487179</v>
      </c>
      <c r="G26" s="89" t="str">
        <f t="shared" ref="G26:G36" si="21">+G25</f>
        <v>#DIV/0!</v>
      </c>
      <c r="H26" s="92" t="str">
        <f t="shared" si="19"/>
        <v>#DIV/0!</v>
      </c>
      <c r="I26" s="89">
        <f t="shared" si="20"/>
        <v>850</v>
      </c>
      <c r="J26" s="49"/>
      <c r="K26" s="49"/>
      <c r="L26" s="49"/>
      <c r="M26" s="49"/>
      <c r="N26" s="49">
        <v>0.0</v>
      </c>
      <c r="O26" s="49"/>
      <c r="P26" s="49"/>
      <c r="Q26" s="49"/>
      <c r="R26" s="11"/>
      <c r="S26" s="49" t="s">
        <v>232</v>
      </c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</row>
    <row r="27" ht="14.25" customHeight="1">
      <c r="A27" s="27" t="s">
        <v>23</v>
      </c>
      <c r="B27" s="85">
        <v>104.0</v>
      </c>
      <c r="C27" s="50">
        <v>114430.0</v>
      </c>
      <c r="D27" s="11">
        <v>49.0</v>
      </c>
      <c r="E27" s="11">
        <f t="shared" si="17"/>
        <v>50.96</v>
      </c>
      <c r="F27" s="89">
        <f t="shared" si="18"/>
        <v>2245.486656</v>
      </c>
      <c r="G27" s="89" t="str">
        <f t="shared" si="21"/>
        <v>#DIV/0!</v>
      </c>
      <c r="H27" s="92" t="str">
        <f t="shared" si="19"/>
        <v>#DIV/0!</v>
      </c>
      <c r="I27" s="89">
        <f t="shared" si="20"/>
        <v>1100.288462</v>
      </c>
      <c r="J27" s="49"/>
      <c r="K27" s="49"/>
      <c r="L27" s="49"/>
      <c r="M27" s="198" t="s">
        <v>53</v>
      </c>
      <c r="N27" s="198">
        <f>+P7+P8+P9+P10+P11+P12+P13+P14+P15</f>
        <v>10060.4</v>
      </c>
      <c r="O27" s="198">
        <f>+R7+R8+R9+R10+R11+R12+R13+R14+R15</f>
        <v>33068891</v>
      </c>
      <c r="P27" s="326">
        <f t="shared" ref="P27:P30" si="22">+O27/N27</f>
        <v>3287.035406</v>
      </c>
      <c r="Q27" s="63"/>
      <c r="R27" s="89"/>
      <c r="S27" s="49"/>
      <c r="T27" s="49"/>
      <c r="U27" s="49"/>
      <c r="V27" s="63" t="str">
        <f>SUM(V7:V26)</f>
        <v>#ERROR!</v>
      </c>
      <c r="W27" s="49"/>
      <c r="X27" s="49"/>
      <c r="Y27" s="49"/>
      <c r="Z27" s="49"/>
      <c r="AA27" s="49"/>
      <c r="AB27" s="49"/>
      <c r="AC27" s="49"/>
      <c r="AD27" s="49"/>
    </row>
    <row r="28" ht="14.25" customHeight="1">
      <c r="A28" s="27" t="s">
        <v>13</v>
      </c>
      <c r="B28" s="85">
        <v>1080.0</v>
      </c>
      <c r="C28" s="50">
        <v>1062820.0</v>
      </c>
      <c r="D28" s="11">
        <v>30.0</v>
      </c>
      <c r="E28" s="11">
        <f t="shared" si="17"/>
        <v>324</v>
      </c>
      <c r="F28" s="89">
        <f t="shared" si="18"/>
        <v>3280.308642</v>
      </c>
      <c r="G28" s="89" t="str">
        <f t="shared" si="21"/>
        <v>#DIV/0!</v>
      </c>
      <c r="H28" s="92" t="str">
        <f t="shared" si="19"/>
        <v>#DIV/0!</v>
      </c>
      <c r="I28" s="89">
        <f t="shared" si="20"/>
        <v>984.0925926</v>
      </c>
      <c r="J28" s="49"/>
      <c r="K28" s="49"/>
      <c r="L28" s="49"/>
      <c r="M28" s="11" t="s">
        <v>283</v>
      </c>
      <c r="N28" s="11">
        <f t="shared" ref="N28:N30" si="23">+P19</f>
        <v>5.85</v>
      </c>
      <c r="O28" s="11">
        <f t="shared" ref="O28:O30" si="24">+R19</f>
        <v>12750</v>
      </c>
      <c r="P28" s="89">
        <f t="shared" si="22"/>
        <v>2179.487179</v>
      </c>
      <c r="Q28" s="89"/>
      <c r="R28" s="327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</row>
    <row r="29" ht="14.25" customHeight="1">
      <c r="A29" s="27" t="s">
        <v>11</v>
      </c>
      <c r="B29" s="85">
        <v>6079.0</v>
      </c>
      <c r="C29" s="50">
        <v>1.0060238E7</v>
      </c>
      <c r="D29" s="11">
        <v>50.0</v>
      </c>
      <c r="E29" s="11">
        <f t="shared" si="17"/>
        <v>3039.5</v>
      </c>
      <c r="F29" s="89">
        <f t="shared" si="18"/>
        <v>3309.833196</v>
      </c>
      <c r="G29" s="89" t="str">
        <f t="shared" si="21"/>
        <v>#DIV/0!</v>
      </c>
      <c r="H29" s="92" t="str">
        <f t="shared" si="19"/>
        <v>#DIV/0!</v>
      </c>
      <c r="I29" s="89">
        <f t="shared" si="20"/>
        <v>1654.916598</v>
      </c>
      <c r="J29" s="49"/>
      <c r="K29" s="49"/>
      <c r="L29" s="49"/>
      <c r="M29" s="11" t="s">
        <v>35</v>
      </c>
      <c r="N29" s="11">
        <f t="shared" si="23"/>
        <v>2391.69</v>
      </c>
      <c r="O29" s="11">
        <f t="shared" si="24"/>
        <v>3792660</v>
      </c>
      <c r="P29" s="89">
        <f t="shared" si="22"/>
        <v>1585.765714</v>
      </c>
      <c r="Q29" s="11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</row>
    <row r="30" ht="14.25" customHeight="1">
      <c r="A30" s="27" t="s">
        <v>27</v>
      </c>
      <c r="B30" s="85">
        <v>415.0</v>
      </c>
      <c r="C30" s="50">
        <v>433650.0</v>
      </c>
      <c r="D30" s="11">
        <v>30.0</v>
      </c>
      <c r="E30" s="11">
        <f t="shared" si="17"/>
        <v>124.5</v>
      </c>
      <c r="F30" s="89">
        <f t="shared" si="18"/>
        <v>3483.13253</v>
      </c>
      <c r="G30" s="89" t="str">
        <f t="shared" si="21"/>
        <v>#DIV/0!</v>
      </c>
      <c r="H30" s="92" t="str">
        <f t="shared" si="19"/>
        <v>#DIV/0!</v>
      </c>
      <c r="I30" s="89">
        <f t="shared" si="20"/>
        <v>1044.939759</v>
      </c>
      <c r="J30" s="49"/>
      <c r="K30" s="49"/>
      <c r="L30" s="49"/>
      <c r="M30" s="11" t="s">
        <v>23</v>
      </c>
      <c r="N30" s="11">
        <f t="shared" si="23"/>
        <v>4181.66</v>
      </c>
      <c r="O30" s="11">
        <f t="shared" si="24"/>
        <v>8966100</v>
      </c>
      <c r="P30" s="89">
        <f t="shared" si="22"/>
        <v>2144.148496</v>
      </c>
      <c r="Q30" s="11"/>
      <c r="R30" s="63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</row>
    <row r="31" ht="14.25" customHeight="1">
      <c r="A31" s="27" t="s">
        <v>25</v>
      </c>
      <c r="B31" s="85">
        <v>1542.0</v>
      </c>
      <c r="C31" s="50">
        <v>2652412.0</v>
      </c>
      <c r="D31" s="11">
        <v>50.0</v>
      </c>
      <c r="E31" s="11">
        <f t="shared" si="17"/>
        <v>771</v>
      </c>
      <c r="F31" s="89">
        <f t="shared" si="18"/>
        <v>3440.223087</v>
      </c>
      <c r="G31" s="89" t="str">
        <f t="shared" si="21"/>
        <v>#DIV/0!</v>
      </c>
      <c r="H31" s="92" t="str">
        <f t="shared" si="19"/>
        <v>#DIV/0!</v>
      </c>
      <c r="I31" s="89">
        <f t="shared" si="20"/>
        <v>1720.111543</v>
      </c>
      <c r="J31" s="49"/>
      <c r="K31" s="49"/>
      <c r="L31" s="49"/>
      <c r="M31" s="188"/>
      <c r="N31" s="188"/>
      <c r="O31" s="188"/>
      <c r="P31" s="28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</row>
    <row r="32" ht="14.25" customHeight="1">
      <c r="A32" s="27" t="s">
        <v>16</v>
      </c>
      <c r="B32" s="85">
        <v>540.0</v>
      </c>
      <c r="C32" s="50">
        <v>843650.0</v>
      </c>
      <c r="D32" s="11">
        <v>50.0</v>
      </c>
      <c r="E32" s="11">
        <f t="shared" si="17"/>
        <v>270</v>
      </c>
      <c r="F32" s="89">
        <f t="shared" si="18"/>
        <v>3124.62963</v>
      </c>
      <c r="G32" s="89" t="str">
        <f t="shared" si="21"/>
        <v>#DIV/0!</v>
      </c>
      <c r="H32" s="92" t="str">
        <f t="shared" si="19"/>
        <v>#DIV/0!</v>
      </c>
      <c r="I32" s="89">
        <f t="shared" si="20"/>
        <v>1562.314815</v>
      </c>
      <c r="J32" s="49"/>
      <c r="K32" s="49"/>
      <c r="L32" s="49"/>
      <c r="M32" s="188" t="s">
        <v>39</v>
      </c>
      <c r="N32" s="188">
        <f t="shared" ref="N32:O32" si="25">+N27+N28+N29+N30</f>
        <v>16639.6</v>
      </c>
      <c r="O32" s="188">
        <f t="shared" si="25"/>
        <v>45840401</v>
      </c>
      <c r="P32" s="289">
        <f>+O32/N32</f>
        <v>2754.898014</v>
      </c>
      <c r="Q32" s="63"/>
      <c r="R32" s="63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</row>
    <row r="33" ht="14.25" customHeight="1">
      <c r="A33" s="27" t="s">
        <v>22</v>
      </c>
      <c r="B33" s="85">
        <v>1271.0</v>
      </c>
      <c r="C33" s="50">
        <v>1324708.0</v>
      </c>
      <c r="D33" s="11">
        <v>30.0</v>
      </c>
      <c r="E33" s="11">
        <f t="shared" si="17"/>
        <v>381.3</v>
      </c>
      <c r="F33" s="89">
        <f t="shared" si="18"/>
        <v>3474.188303</v>
      </c>
      <c r="G33" s="89" t="str">
        <f t="shared" si="21"/>
        <v>#DIV/0!</v>
      </c>
      <c r="H33" s="92" t="str">
        <f t="shared" si="19"/>
        <v>#DIV/0!</v>
      </c>
      <c r="I33" s="89">
        <f t="shared" si="20"/>
        <v>1042.256491</v>
      </c>
      <c r="J33" s="49"/>
      <c r="K33" s="49"/>
      <c r="L33" s="49"/>
      <c r="M33" s="49"/>
      <c r="N33" s="49"/>
      <c r="O33" s="49"/>
      <c r="P33" s="49"/>
      <c r="Q33" s="63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</row>
    <row r="34" ht="14.25" customHeight="1">
      <c r="A34" s="27" t="s">
        <v>19</v>
      </c>
      <c r="B34" s="85">
        <v>762.0</v>
      </c>
      <c r="C34" s="50">
        <v>1326520.0</v>
      </c>
      <c r="D34" s="11">
        <v>50.0</v>
      </c>
      <c r="E34" s="11">
        <f t="shared" si="17"/>
        <v>381</v>
      </c>
      <c r="F34" s="89">
        <f t="shared" si="18"/>
        <v>3481.67979</v>
      </c>
      <c r="G34" s="89" t="str">
        <f t="shared" si="21"/>
        <v>#DIV/0!</v>
      </c>
      <c r="H34" s="92" t="str">
        <f t="shared" si="19"/>
        <v>#DIV/0!</v>
      </c>
      <c r="I34" s="89">
        <f t="shared" si="20"/>
        <v>1740.839895</v>
      </c>
      <c r="J34" s="49"/>
      <c r="K34" s="49"/>
      <c r="L34" s="49"/>
      <c r="M34" s="49"/>
      <c r="N34" s="49"/>
      <c r="O34" s="49"/>
      <c r="P34" s="49"/>
      <c r="Q34" s="63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</row>
    <row r="35" ht="14.25" customHeight="1">
      <c r="A35" s="27" t="s">
        <v>29</v>
      </c>
      <c r="B35" s="85">
        <v>1120.0</v>
      </c>
      <c r="C35" s="50">
        <v>1964740.0</v>
      </c>
      <c r="D35" s="11">
        <v>50.0</v>
      </c>
      <c r="E35" s="11">
        <f t="shared" si="17"/>
        <v>560</v>
      </c>
      <c r="F35" s="89">
        <f t="shared" si="18"/>
        <v>3508.464286</v>
      </c>
      <c r="G35" s="89" t="str">
        <f t="shared" si="21"/>
        <v>#DIV/0!</v>
      </c>
      <c r="H35" s="92" t="str">
        <f t="shared" si="19"/>
        <v>#DIV/0!</v>
      </c>
      <c r="I35" s="89">
        <f t="shared" si="20"/>
        <v>1754.232143</v>
      </c>
      <c r="J35" s="49"/>
      <c r="K35" s="49"/>
      <c r="L35" s="49"/>
      <c r="M35" s="11" t="s">
        <v>284</v>
      </c>
      <c r="N35" s="11"/>
      <c r="O35" s="11"/>
      <c r="P35" s="89" t="str">
        <f>+G38</f>
        <v>#DIV/0!</v>
      </c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</row>
    <row r="36" ht="15.75" customHeight="1">
      <c r="A36" s="27" t="s">
        <v>189</v>
      </c>
      <c r="B36" s="85">
        <v>715.0</v>
      </c>
      <c r="C36" s="50">
        <v>1184000.0</v>
      </c>
      <c r="D36" s="11">
        <v>50.0</v>
      </c>
      <c r="E36" s="188">
        <f t="shared" si="17"/>
        <v>357.5</v>
      </c>
      <c r="F36" s="188">
        <f t="shared" si="18"/>
        <v>3311.888112</v>
      </c>
      <c r="G36" s="89" t="str">
        <f t="shared" si="21"/>
        <v>#DIV/0!</v>
      </c>
      <c r="H36" s="11" t="str">
        <f t="shared" si="19"/>
        <v>#DIV/0!</v>
      </c>
      <c r="I36" s="89">
        <f t="shared" si="20"/>
        <v>1655.944056</v>
      </c>
      <c r="J36" s="49"/>
      <c r="K36" s="49"/>
      <c r="L36" s="49"/>
      <c r="M36" s="11"/>
      <c r="N36" s="11"/>
      <c r="O36" s="11"/>
      <c r="P36" s="11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</row>
    <row r="37" ht="15.75" customHeight="1">
      <c r="A37" s="27"/>
      <c r="B37" s="85"/>
      <c r="C37" s="50"/>
      <c r="D37" s="11"/>
      <c r="E37" s="188"/>
      <c r="F37" s="188"/>
      <c r="G37" s="11"/>
      <c r="H37" s="11"/>
      <c r="I37" s="49"/>
      <c r="J37" s="49"/>
      <c r="K37" s="49"/>
      <c r="L37" s="49"/>
      <c r="M37" s="11" t="s">
        <v>232</v>
      </c>
      <c r="N37" s="11"/>
      <c r="O37" s="11"/>
      <c r="P37" s="89" t="str">
        <f>+P32-P35</f>
        <v>#DIV/0!</v>
      </c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</row>
    <row r="38" ht="15.75" customHeight="1">
      <c r="A38" s="284" t="s">
        <v>39</v>
      </c>
      <c r="B38" s="298">
        <f t="shared" ref="B38:C38" si="26">SUM(B25:B36)</f>
        <v>14173</v>
      </c>
      <c r="C38" s="298">
        <f t="shared" si="26"/>
        <v>21353568</v>
      </c>
      <c r="D38" s="284">
        <v>0.0</v>
      </c>
      <c r="E38" s="298">
        <f>SUM(E25:E36)</f>
        <v>6525.31</v>
      </c>
      <c r="F38" s="284">
        <f>+C38/E38</f>
        <v>3272.422</v>
      </c>
      <c r="G38" s="285" t="str">
        <f>+G35</f>
        <v>#DIV/0!</v>
      </c>
      <c r="H38" s="285" t="str">
        <f>+F38-G38</f>
        <v>#DIV/0!</v>
      </c>
      <c r="I38" s="285">
        <f>+C38/B38</f>
        <v>1506.637127</v>
      </c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</row>
    <row r="39" ht="15.75" customHeight="1">
      <c r="A39" s="294"/>
      <c r="B39" s="294"/>
      <c r="C39" s="294"/>
      <c r="D39" s="294"/>
      <c r="E39" s="294"/>
      <c r="F39" s="294"/>
      <c r="G39" s="295"/>
      <c r="H39" s="295"/>
      <c r="I39" s="178"/>
      <c r="J39" s="178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</row>
    <row r="40" ht="15.75" customHeight="1">
      <c r="A40" s="294"/>
      <c r="B40" s="294"/>
      <c r="C40" s="294"/>
      <c r="D40" s="294"/>
      <c r="E40" s="294"/>
      <c r="F40" s="294"/>
      <c r="G40" s="295"/>
      <c r="H40" s="295"/>
      <c r="I40" s="178"/>
      <c r="J40" s="178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</row>
    <row r="41" ht="15.75" customHeight="1">
      <c r="A41" s="322" t="s">
        <v>224</v>
      </c>
      <c r="B41" s="323"/>
      <c r="C41" s="323"/>
      <c r="D41" s="323"/>
      <c r="E41" s="323"/>
      <c r="F41" s="323"/>
      <c r="G41" s="323"/>
      <c r="H41" s="324"/>
      <c r="I41" s="178"/>
      <c r="J41" s="178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</row>
    <row r="42" ht="15.75" customHeight="1">
      <c r="A42" s="274" t="s">
        <v>4</v>
      </c>
      <c r="B42" s="275" t="s">
        <v>217</v>
      </c>
      <c r="C42" s="276" t="s">
        <v>9</v>
      </c>
      <c r="D42" s="36" t="s">
        <v>218</v>
      </c>
      <c r="E42" s="36" t="s">
        <v>219</v>
      </c>
      <c r="F42" s="36" t="s">
        <v>220</v>
      </c>
      <c r="G42" s="36" t="s">
        <v>221</v>
      </c>
      <c r="H42" s="36" t="s">
        <v>204</v>
      </c>
      <c r="I42" s="11" t="s">
        <v>280</v>
      </c>
      <c r="J42" s="178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</row>
    <row r="43" ht="15.75" customHeight="1">
      <c r="A43" s="21" t="s">
        <v>17</v>
      </c>
      <c r="B43" s="101">
        <v>350.0</v>
      </c>
      <c r="C43" s="22">
        <v>257250.0</v>
      </c>
      <c r="D43" s="11">
        <v>49.0</v>
      </c>
      <c r="E43" s="11">
        <f t="shared" ref="E43:E44" si="27">+B43*D43/100</f>
        <v>171.5</v>
      </c>
      <c r="F43" s="11">
        <f t="shared" ref="F43:F44" si="28">+C43/E43</f>
        <v>1500</v>
      </c>
      <c r="G43" s="89" t="str">
        <f>+G38</f>
        <v>#DIV/0!</v>
      </c>
      <c r="H43" s="11" t="str">
        <f t="shared" ref="H43:H44" si="29">+F43-G43</f>
        <v>#DIV/0!</v>
      </c>
      <c r="I43" s="89">
        <f t="shared" ref="I43:I44" si="30">+C43/B43</f>
        <v>735</v>
      </c>
      <c r="J43" s="178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</row>
    <row r="44" ht="15.75" customHeight="1">
      <c r="A44" s="21" t="s">
        <v>23</v>
      </c>
      <c r="B44" s="101">
        <v>1920.0</v>
      </c>
      <c r="C44" s="22">
        <v>1988500.0</v>
      </c>
      <c r="D44" s="11">
        <v>49.0</v>
      </c>
      <c r="E44" s="11">
        <f t="shared" si="27"/>
        <v>940.8</v>
      </c>
      <c r="F44" s="11">
        <f t="shared" si="28"/>
        <v>2113.626701</v>
      </c>
      <c r="G44" s="89" t="str">
        <f>+G43</f>
        <v>#DIV/0!</v>
      </c>
      <c r="H44" s="11" t="str">
        <f t="shared" si="29"/>
        <v>#DIV/0!</v>
      </c>
      <c r="I44" s="89">
        <f t="shared" si="30"/>
        <v>1035.677083</v>
      </c>
      <c r="J44" s="178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</row>
    <row r="45" ht="15.75" customHeight="1">
      <c r="A45" s="27"/>
      <c r="B45" s="11"/>
      <c r="C45" s="50"/>
      <c r="D45" s="11"/>
      <c r="E45" s="11"/>
      <c r="F45" s="11"/>
      <c r="G45" s="11"/>
      <c r="H45" s="11"/>
      <c r="I45" s="196"/>
      <c r="J45" s="178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</row>
    <row r="46" ht="15.75" customHeight="1">
      <c r="A46" s="282" t="s">
        <v>39</v>
      </c>
      <c r="B46" s="293">
        <f t="shared" ref="B46:C46" si="31">SUM(B43:B45)</f>
        <v>2270</v>
      </c>
      <c r="C46" s="298">
        <f t="shared" si="31"/>
        <v>2245750</v>
      </c>
      <c r="D46" s="284"/>
      <c r="E46" s="284">
        <f>SUM(E43:E45)</f>
        <v>1112.3</v>
      </c>
      <c r="F46" s="284">
        <f>+C46/E46</f>
        <v>2019.014654</v>
      </c>
      <c r="G46" s="285" t="str">
        <f>+G38</f>
        <v>#DIV/0!</v>
      </c>
      <c r="H46" s="284" t="str">
        <f>+F46-G46</f>
        <v>#DIV/0!</v>
      </c>
      <c r="I46" s="284">
        <f>+C46/B46</f>
        <v>989.3171806</v>
      </c>
      <c r="J46" s="178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</row>
    <row r="47" ht="15.75" customHeight="1">
      <c r="A47" s="294"/>
      <c r="B47" s="294"/>
      <c r="C47" s="294"/>
      <c r="D47" s="294"/>
      <c r="E47" s="294"/>
      <c r="F47" s="294"/>
      <c r="G47" s="295"/>
      <c r="H47" s="295"/>
      <c r="I47" s="178"/>
      <c r="J47" s="178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</row>
    <row r="48" ht="15.75" customHeight="1">
      <c r="A48" s="11"/>
      <c r="B48" s="11"/>
      <c r="C48" s="11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</row>
    <row r="49" ht="15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</row>
    <row r="50" ht="15.75" customHeight="1">
      <c r="A50" s="297" t="s">
        <v>225</v>
      </c>
      <c r="B50" s="297" t="s">
        <v>226</v>
      </c>
      <c r="C50" s="297" t="s">
        <v>219</v>
      </c>
      <c r="D50" s="322" t="s">
        <v>227</v>
      </c>
      <c r="E50" s="324"/>
      <c r="F50" s="297" t="s">
        <v>40</v>
      </c>
      <c r="G50" s="297" t="s">
        <v>221</v>
      </c>
      <c r="H50" s="297" t="s">
        <v>204</v>
      </c>
      <c r="I50" s="49"/>
      <c r="J50" s="49"/>
      <c r="K50" s="49"/>
      <c r="L50" s="49"/>
      <c r="M50" s="49"/>
      <c r="N50" s="49"/>
      <c r="O50" s="49"/>
      <c r="P50" s="49"/>
      <c r="Q50" s="178"/>
      <c r="R50" s="178"/>
      <c r="S50" s="178"/>
      <c r="T50" s="178"/>
      <c r="U50" s="49"/>
      <c r="V50" s="49"/>
      <c r="W50" s="49"/>
      <c r="X50" s="49"/>
      <c r="Y50" s="49"/>
      <c r="Z50" s="49"/>
      <c r="AA50" s="49"/>
      <c r="AB50" s="49"/>
      <c r="AC50" s="49"/>
      <c r="AD50" s="49"/>
    </row>
    <row r="51" ht="15.75" customHeight="1">
      <c r="A51" s="11" t="s">
        <v>228</v>
      </c>
      <c r="B51" s="50">
        <f>+B20</f>
        <v>18373</v>
      </c>
      <c r="C51" s="11">
        <f>+E20</f>
        <v>9001.99</v>
      </c>
      <c r="D51" s="328">
        <f>+C20</f>
        <v>22241083</v>
      </c>
      <c r="E51" s="328"/>
      <c r="F51" s="89">
        <f t="shared" ref="F51:F53" si="32">+D51/C51</f>
        <v>2470.685149</v>
      </c>
      <c r="G51" s="89" t="str">
        <f>+G46</f>
        <v>#DIV/0!</v>
      </c>
      <c r="H51" s="89" t="str">
        <f t="shared" ref="H51:H53" si="33">+F51-G51</f>
        <v>#DIV/0!</v>
      </c>
      <c r="I51" s="49"/>
      <c r="J51" s="49"/>
      <c r="K51" s="49"/>
      <c r="L51" s="49"/>
      <c r="M51" s="49"/>
      <c r="N51" s="49"/>
      <c r="O51" s="49"/>
      <c r="P51" s="49"/>
      <c r="Q51" s="178"/>
      <c r="R51" s="178"/>
      <c r="S51" s="178"/>
      <c r="T51" s="178"/>
      <c r="U51" s="49"/>
      <c r="V51" s="49"/>
      <c r="W51" s="49"/>
      <c r="X51" s="49"/>
      <c r="Y51" s="49"/>
      <c r="Z51" s="49"/>
      <c r="AA51" s="49"/>
      <c r="AB51" s="49"/>
      <c r="AC51" s="49"/>
      <c r="AD51" s="49"/>
    </row>
    <row r="52" ht="15.75" customHeight="1">
      <c r="A52" s="11" t="s">
        <v>223</v>
      </c>
      <c r="B52" s="50">
        <f>+B38</f>
        <v>14173</v>
      </c>
      <c r="C52" s="50">
        <f>+E38</f>
        <v>6525.31</v>
      </c>
      <c r="D52" s="328">
        <f>+C38</f>
        <v>21353568</v>
      </c>
      <c r="E52" s="29"/>
      <c r="F52" s="89">
        <f t="shared" si="32"/>
        <v>3272.422</v>
      </c>
      <c r="G52" s="89" t="str">
        <f t="shared" ref="G52:G53" si="34">+G51</f>
        <v>#DIV/0!</v>
      </c>
      <c r="H52" s="89" t="str">
        <f t="shared" si="33"/>
        <v>#DIV/0!</v>
      </c>
      <c r="I52" s="49"/>
      <c r="J52" s="49"/>
      <c r="K52" s="49"/>
      <c r="L52" s="49"/>
      <c r="M52" s="178"/>
      <c r="N52" s="178"/>
      <c r="O52" s="178"/>
      <c r="P52" s="178"/>
      <c r="Q52" s="178"/>
      <c r="R52" s="178"/>
      <c r="S52" s="178"/>
      <c r="T52" s="178"/>
      <c r="U52" s="49"/>
      <c r="V52" s="49"/>
      <c r="W52" s="49"/>
      <c r="X52" s="49"/>
      <c r="Y52" s="49"/>
      <c r="Z52" s="49"/>
      <c r="AA52" s="49"/>
      <c r="AB52" s="49"/>
      <c r="AC52" s="49"/>
      <c r="AD52" s="49"/>
    </row>
    <row r="53" ht="15.75" customHeight="1">
      <c r="A53" s="11" t="s">
        <v>230</v>
      </c>
      <c r="B53" s="50">
        <f>+B46</f>
        <v>2270</v>
      </c>
      <c r="C53" s="11">
        <f>+E46</f>
        <v>1112.3</v>
      </c>
      <c r="D53" s="328">
        <f>+C46</f>
        <v>2245750</v>
      </c>
      <c r="E53" s="328"/>
      <c r="F53" s="89">
        <f t="shared" si="32"/>
        <v>2019.014654</v>
      </c>
      <c r="G53" s="89" t="str">
        <f t="shared" si="34"/>
        <v>#DIV/0!</v>
      </c>
      <c r="H53" s="89" t="str">
        <f t="shared" si="33"/>
        <v>#DIV/0!</v>
      </c>
      <c r="I53" s="49"/>
      <c r="J53" s="63"/>
      <c r="K53" s="178"/>
      <c r="L53" s="178"/>
      <c r="M53" s="178"/>
      <c r="N53" s="178"/>
      <c r="O53" s="178"/>
      <c r="P53" s="178"/>
      <c r="Q53" s="178"/>
      <c r="R53" s="11">
        <v>1.325447E7</v>
      </c>
      <c r="S53" s="178"/>
      <c r="T53" s="178"/>
      <c r="U53" s="49"/>
      <c r="V53" s="178"/>
      <c r="W53" s="178"/>
      <c r="X53" s="178"/>
      <c r="Y53" s="178"/>
      <c r="Z53" s="178"/>
      <c r="AA53" s="178"/>
      <c r="AB53" s="178"/>
      <c r="AC53" s="178"/>
      <c r="AD53" s="178"/>
    </row>
    <row r="54" ht="15.75" customHeight="1">
      <c r="A54" s="11"/>
      <c r="B54" s="50"/>
      <c r="C54" s="11"/>
      <c r="D54" s="329"/>
      <c r="E54" s="330"/>
      <c r="F54" s="89"/>
      <c r="G54" s="89"/>
      <c r="H54" s="89"/>
      <c r="I54" s="49"/>
      <c r="J54" s="63"/>
      <c r="K54" s="178"/>
      <c r="L54" s="178"/>
      <c r="M54" s="178"/>
      <c r="N54" s="178"/>
      <c r="O54" s="178"/>
      <c r="P54" s="178"/>
      <c r="Q54" s="178"/>
      <c r="R54" s="11">
        <v>959988.0</v>
      </c>
      <c r="S54" s="178"/>
      <c r="T54" s="178"/>
      <c r="U54" s="178"/>
      <c r="V54" s="178"/>
      <c r="W54" s="178"/>
      <c r="X54" s="178"/>
      <c r="Y54" s="178"/>
      <c r="Z54" s="178"/>
      <c r="AA54" s="178"/>
      <c r="AB54" s="178"/>
      <c r="AC54" s="178"/>
      <c r="AD54" s="178"/>
    </row>
    <row r="55" ht="15.75" customHeight="1">
      <c r="A55" s="284" t="s">
        <v>39</v>
      </c>
      <c r="B55" s="331">
        <f>+B51+B52+B53</f>
        <v>34816</v>
      </c>
      <c r="C55" s="284">
        <f>SUM(C51:C53)</f>
        <v>16639.6</v>
      </c>
      <c r="D55" s="332">
        <f>SUM(D51:E53)</f>
        <v>45840401</v>
      </c>
      <c r="E55" s="333"/>
      <c r="F55" s="285">
        <f>+D55/C55</f>
        <v>2754.898014</v>
      </c>
      <c r="G55" s="285" t="str">
        <f>+G51</f>
        <v>#DIV/0!</v>
      </c>
      <c r="H55" s="285" t="str">
        <f>+F55-G55</f>
        <v>#DIV/0!</v>
      </c>
      <c r="I55" s="49"/>
      <c r="J55" s="49" t="str">
        <f>+G55*4/100</f>
        <v>#DIV/0!</v>
      </c>
      <c r="K55" s="178"/>
      <c r="L55" s="178"/>
      <c r="M55" s="178"/>
      <c r="N55" s="178"/>
      <c r="O55" s="178"/>
      <c r="P55" s="178"/>
      <c r="Q55" s="178"/>
      <c r="R55" s="11">
        <v>5443150.0</v>
      </c>
      <c r="S55" s="178"/>
      <c r="T55" s="178"/>
      <c r="U55" s="178"/>
      <c r="V55" s="178"/>
      <c r="W55" s="178"/>
      <c r="X55" s="178"/>
      <c r="Y55" s="178"/>
      <c r="Z55" s="178"/>
      <c r="AA55" s="178"/>
      <c r="AB55" s="178"/>
      <c r="AC55" s="178"/>
      <c r="AD55" s="178"/>
    </row>
    <row r="56" ht="15.75" customHeight="1">
      <c r="A56" s="49"/>
      <c r="B56" s="49">
        <f>+N24</f>
        <v>34816</v>
      </c>
      <c r="C56" s="42">
        <f>+P24</f>
        <v>16639.6</v>
      </c>
      <c r="D56" s="334">
        <f>+R24</f>
        <v>45840401</v>
      </c>
      <c r="E56" s="49"/>
      <c r="F56" s="49"/>
      <c r="G56" s="49" t="s">
        <v>285</v>
      </c>
      <c r="H56" s="49">
        <f>+F55*2/100</f>
        <v>55.09796029</v>
      </c>
      <c r="I56" s="49"/>
      <c r="J56" s="49"/>
      <c r="K56" s="178"/>
      <c r="L56" s="178"/>
      <c r="M56" s="178"/>
      <c r="N56" s="178"/>
      <c r="O56" s="178"/>
      <c r="P56" s="178"/>
      <c r="Q56" s="178"/>
      <c r="R56" s="11">
        <v>598195.0</v>
      </c>
      <c r="S56" s="178"/>
      <c r="T56" s="178"/>
      <c r="U56" s="178"/>
      <c r="V56" s="178"/>
      <c r="W56" s="178"/>
      <c r="X56" s="178"/>
      <c r="Y56" s="178"/>
      <c r="Z56" s="178"/>
      <c r="AA56" s="178"/>
      <c r="AB56" s="178"/>
      <c r="AC56" s="178"/>
      <c r="AD56" s="178"/>
    </row>
    <row r="57" ht="15.75" customHeight="1">
      <c r="A57" s="49"/>
      <c r="B57" s="42">
        <f t="shared" ref="B57:D57" si="35">+B55-B56</f>
        <v>0</v>
      </c>
      <c r="C57" s="42">
        <f t="shared" si="35"/>
        <v>0</v>
      </c>
      <c r="D57" s="22">
        <f t="shared" si="35"/>
        <v>0</v>
      </c>
      <c r="E57" s="49"/>
      <c r="F57" s="49"/>
      <c r="G57" s="49" t="s">
        <v>286</v>
      </c>
      <c r="H57" s="63" t="str">
        <f>+H55-H56</f>
        <v>#DIV/0!</v>
      </c>
      <c r="I57" s="49"/>
      <c r="J57" s="49"/>
      <c r="K57" s="178"/>
      <c r="L57" s="178"/>
      <c r="M57" s="178"/>
      <c r="N57" s="178"/>
      <c r="O57" s="178"/>
      <c r="P57" s="178"/>
      <c r="Q57" s="178"/>
      <c r="R57" s="11">
        <v>1239670.0</v>
      </c>
      <c r="S57" s="178"/>
      <c r="T57" s="178"/>
      <c r="U57" s="178"/>
      <c r="V57" s="178"/>
      <c r="W57" s="178"/>
      <c r="X57" s="178"/>
      <c r="Y57" s="178"/>
      <c r="Z57" s="178"/>
      <c r="AA57" s="178"/>
      <c r="AB57" s="178"/>
      <c r="AC57" s="178"/>
      <c r="AD57" s="178"/>
    </row>
    <row r="58" ht="15.75" customHeight="1">
      <c r="A58" s="49"/>
      <c r="B58" s="49"/>
      <c r="C58" s="42"/>
      <c r="D58" s="22"/>
      <c r="E58" s="22"/>
      <c r="F58" s="49"/>
      <c r="G58" s="49"/>
      <c r="H58" s="49"/>
      <c r="I58" s="49"/>
      <c r="J58" s="49"/>
      <c r="K58" s="178"/>
      <c r="L58" s="178"/>
      <c r="M58" s="178"/>
      <c r="N58" s="178"/>
      <c r="O58" s="178"/>
      <c r="P58" s="178"/>
      <c r="Q58" s="178"/>
      <c r="R58" s="11">
        <v>625248.0</v>
      </c>
      <c r="S58" s="178"/>
      <c r="T58" s="178"/>
      <c r="U58" s="178"/>
      <c r="V58" s="178"/>
      <c r="W58" s="178"/>
      <c r="X58" s="178"/>
      <c r="Y58" s="178"/>
      <c r="Z58" s="178"/>
      <c r="AA58" s="178"/>
      <c r="AB58" s="178"/>
      <c r="AC58" s="178"/>
      <c r="AD58" s="178"/>
    </row>
    <row r="59" ht="15.75" customHeight="1">
      <c r="A59" s="49"/>
      <c r="B59" s="42"/>
      <c r="C59" s="49"/>
      <c r="D59" s="49"/>
      <c r="E59" s="49"/>
      <c r="F59" s="49"/>
      <c r="G59" s="49"/>
      <c r="H59" s="49"/>
      <c r="I59" s="49"/>
      <c r="J59" s="49"/>
      <c r="K59" s="178"/>
      <c r="L59" s="178"/>
      <c r="M59" s="178"/>
      <c r="N59" s="178"/>
      <c r="O59" s="178"/>
      <c r="P59" s="178"/>
      <c r="Q59" s="49"/>
      <c r="R59" s="11">
        <v>2431762.0</v>
      </c>
      <c r="S59" s="49"/>
      <c r="T59" s="49"/>
      <c r="U59" s="178"/>
      <c r="V59" s="178"/>
      <c r="W59" s="178"/>
      <c r="X59" s="178"/>
      <c r="Y59" s="178"/>
      <c r="Z59" s="178"/>
      <c r="AA59" s="178"/>
      <c r="AB59" s="178"/>
      <c r="AC59" s="178"/>
      <c r="AD59" s="178"/>
    </row>
    <row r="60" ht="15.75" customHeight="1">
      <c r="A60" s="36"/>
      <c r="B60" s="36" t="s">
        <v>287</v>
      </c>
      <c r="C60" s="36" t="s">
        <v>9</v>
      </c>
      <c r="D60" s="36" t="s">
        <v>288</v>
      </c>
      <c r="E60" s="11" t="s">
        <v>289</v>
      </c>
      <c r="F60" s="49"/>
      <c r="G60" s="49"/>
      <c r="H60" s="49"/>
      <c r="I60" s="49"/>
      <c r="J60" s="49"/>
      <c r="K60" s="178"/>
      <c r="L60" s="178"/>
      <c r="M60" s="178"/>
      <c r="N60" s="178"/>
      <c r="O60" s="178"/>
      <c r="P60" s="178"/>
      <c r="Q60" s="49"/>
      <c r="R60" s="11">
        <v>238640.0</v>
      </c>
      <c r="S60" s="49"/>
      <c r="T60" s="49"/>
      <c r="U60" s="178"/>
      <c r="V60" s="178"/>
      <c r="W60" s="178"/>
      <c r="X60" s="178"/>
      <c r="Y60" s="178"/>
      <c r="Z60" s="178"/>
      <c r="AA60" s="178"/>
      <c r="AB60" s="178"/>
      <c r="AC60" s="178"/>
      <c r="AD60" s="178"/>
    </row>
    <row r="61" ht="15.75" customHeight="1">
      <c r="A61" s="11" t="s">
        <v>290</v>
      </c>
      <c r="B61" s="58">
        <f>+'REPORT DATA SHEET'!P46</f>
        <v>0</v>
      </c>
      <c r="C61" s="58">
        <f>+'REPORT DATA SHEET'!P47</f>
        <v>0</v>
      </c>
      <c r="D61" s="11">
        <f t="shared" ref="D61:E61" si="36">+B61*30</f>
        <v>0</v>
      </c>
      <c r="E61" s="11">
        <f t="shared" si="36"/>
        <v>0</v>
      </c>
      <c r="F61" s="49"/>
      <c r="G61" s="49"/>
      <c r="H61" s="49"/>
      <c r="I61" s="49"/>
      <c r="J61" s="49"/>
      <c r="K61" s="178"/>
      <c r="L61" s="178"/>
      <c r="M61" s="49"/>
      <c r="N61" s="49"/>
      <c r="O61" s="49"/>
      <c r="P61" s="49"/>
      <c r="Q61" s="49"/>
      <c r="R61" s="11">
        <v>1476010.0</v>
      </c>
      <c r="S61" s="49"/>
      <c r="T61" s="49"/>
      <c r="U61" s="178"/>
      <c r="V61" s="178"/>
      <c r="W61" s="178"/>
      <c r="X61" s="178"/>
      <c r="Y61" s="178"/>
      <c r="Z61" s="178"/>
      <c r="AA61" s="178"/>
      <c r="AB61" s="178"/>
      <c r="AC61" s="178"/>
      <c r="AD61" s="178"/>
    </row>
    <row r="62" ht="15.75" customHeight="1">
      <c r="A62" s="11" t="s">
        <v>291</v>
      </c>
      <c r="B62" s="58">
        <f>+'REPORT DATA SHEET'!P56</f>
        <v>0</v>
      </c>
      <c r="C62" s="58">
        <f>+'REPORT DATA SHEET'!P57</f>
        <v>0</v>
      </c>
      <c r="D62" s="11">
        <f t="shared" ref="D62:E62" si="37">+B62*30</f>
        <v>0</v>
      </c>
      <c r="E62" s="11">
        <f t="shared" si="37"/>
        <v>0</v>
      </c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11">
        <v>0.0</v>
      </c>
      <c r="S62" s="49"/>
      <c r="T62" s="49"/>
      <c r="U62" s="178"/>
      <c r="V62" s="49"/>
      <c r="W62" s="49"/>
      <c r="X62" s="49"/>
      <c r="Y62" s="49"/>
      <c r="Z62" s="49"/>
      <c r="AA62" s="49"/>
      <c r="AB62" s="49"/>
      <c r="AC62" s="49"/>
      <c r="AD62" s="49"/>
    </row>
    <row r="63" ht="15.75" customHeight="1">
      <c r="A63" s="11" t="s">
        <v>292</v>
      </c>
      <c r="B63" s="58">
        <f>+'REPORT DATA SHEET'!B32</f>
        <v>14.80571429</v>
      </c>
      <c r="C63" s="11"/>
      <c r="D63" s="11">
        <f>+B63*30</f>
        <v>444.1714286</v>
      </c>
      <c r="E63" s="11">
        <f>+C63*31</f>
        <v>0</v>
      </c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11">
        <v>0.0</v>
      </c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</row>
    <row r="64" ht="15.75" customHeight="1">
      <c r="A64" s="11" t="s">
        <v>293</v>
      </c>
      <c r="B64" s="11"/>
      <c r="C64" s="11"/>
      <c r="D64" s="11"/>
      <c r="E64" s="11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11">
        <v>0.0</v>
      </c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</row>
    <row r="65" ht="15.75" customHeight="1">
      <c r="A65" s="11" t="s">
        <v>228</v>
      </c>
      <c r="B65" s="11">
        <f t="shared" ref="B65:C65" si="38">+C51/31</f>
        <v>290.3867742</v>
      </c>
      <c r="C65" s="11">
        <f t="shared" si="38"/>
        <v>717454.2903</v>
      </c>
      <c r="D65" s="11">
        <f t="shared" ref="D65:E65" si="39">+B65*30</f>
        <v>8711.603226</v>
      </c>
      <c r="E65" s="11">
        <f t="shared" si="39"/>
        <v>21523628.71</v>
      </c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11">
        <v>12750.0</v>
      </c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</row>
    <row r="66" ht="15.75" customHeight="1">
      <c r="A66" s="11" t="s">
        <v>294</v>
      </c>
      <c r="B66" s="11">
        <f t="shared" ref="B66:C66" si="40">+C52/31</f>
        <v>210.493871</v>
      </c>
      <c r="C66" s="11">
        <f t="shared" si="40"/>
        <v>688824.7742</v>
      </c>
      <c r="D66" s="11">
        <f t="shared" ref="D66:E66" si="41">+B66*30</f>
        <v>6314.816129</v>
      </c>
      <c r="E66" s="11">
        <f t="shared" si="41"/>
        <v>20664743.23</v>
      </c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11">
        <v>3046540.0</v>
      </c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</row>
    <row r="67" ht="15.75" hidden="1" customHeight="1">
      <c r="A67" s="11" t="s">
        <v>295</v>
      </c>
      <c r="B67" s="11" t="str">
        <f t="shared" ref="B67:C67" si="42">+#REF!/31</f>
        <v>#REF!</v>
      </c>
      <c r="C67" s="11" t="str">
        <f t="shared" si="42"/>
        <v>#REF!</v>
      </c>
      <c r="D67" s="11" t="str">
        <f t="shared" ref="D67:E67" si="43">+B67*30</f>
        <v>#REF!</v>
      </c>
      <c r="E67" s="11" t="str">
        <f t="shared" si="43"/>
        <v>#REF!</v>
      </c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11">
        <v>5830360.0</v>
      </c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</row>
    <row r="68" ht="15.75" customHeight="1">
      <c r="A68" s="11" t="s">
        <v>296</v>
      </c>
      <c r="B68" s="11">
        <f t="shared" ref="B68:C68" si="44">+C53/31</f>
        <v>35.88064516</v>
      </c>
      <c r="C68" s="11">
        <f t="shared" si="44"/>
        <v>72443.54839</v>
      </c>
      <c r="D68" s="11">
        <f t="shared" ref="D68:E68" si="45">+B68*30</f>
        <v>1076.419355</v>
      </c>
      <c r="E68" s="11">
        <f t="shared" si="45"/>
        <v>2173306.452</v>
      </c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11">
        <v>0.0</v>
      </c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</row>
    <row r="69" ht="15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63" t="str">
        <f>+G55+J55</f>
        <v>#DIV/0!</v>
      </c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</row>
    <row r="70" ht="15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</row>
    <row r="71" ht="15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</row>
    <row r="72" ht="15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253" t="s">
        <v>47</v>
      </c>
      <c r="N72" s="253" t="s">
        <v>187</v>
      </c>
      <c r="O72" s="253" t="s">
        <v>188</v>
      </c>
      <c r="P72" s="253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</row>
    <row r="73" ht="15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335" t="s">
        <v>17</v>
      </c>
      <c r="N73" s="336">
        <v>4471.0</v>
      </c>
      <c r="O73" s="337">
        <v>3460150.0</v>
      </c>
      <c r="P73" s="253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</row>
    <row r="74" ht="15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335" t="s">
        <v>20</v>
      </c>
      <c r="N74" s="336">
        <v>15.0</v>
      </c>
      <c r="O74" s="337">
        <v>12750.0</v>
      </c>
      <c r="P74" s="253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</row>
    <row r="75" ht="15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335" t="s">
        <v>23</v>
      </c>
      <c r="N75" s="336">
        <v>6554.0</v>
      </c>
      <c r="O75" s="337">
        <v>6841020.0</v>
      </c>
      <c r="P75" s="253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</row>
    <row r="76" ht="15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335" t="s">
        <v>13</v>
      </c>
      <c r="N76" s="336">
        <v>1047.0</v>
      </c>
      <c r="O76" s="337">
        <v>1028868.0</v>
      </c>
      <c r="P76" s="253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</row>
    <row r="77" ht="15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335" t="s">
        <v>11</v>
      </c>
      <c r="N77" s="336">
        <v>8492.0</v>
      </c>
      <c r="O77" s="337">
        <v>1.396642E7</v>
      </c>
      <c r="P77" s="253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</row>
    <row r="78" ht="15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335" t="s">
        <v>27</v>
      </c>
      <c r="N78" s="336">
        <v>298.0</v>
      </c>
      <c r="O78" s="337">
        <v>311780.0</v>
      </c>
      <c r="P78" s="253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</row>
    <row r="79" ht="15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335" t="s">
        <v>25</v>
      </c>
      <c r="N79" s="336">
        <v>1462.0</v>
      </c>
      <c r="O79" s="337">
        <v>2502862.0</v>
      </c>
      <c r="P79" s="253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</row>
    <row r="80" ht="15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335" t="s">
        <v>16</v>
      </c>
      <c r="N80" s="336">
        <v>3565.0</v>
      </c>
      <c r="O80" s="337">
        <v>5443150.0</v>
      </c>
      <c r="P80" s="253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</row>
    <row r="81" ht="15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335" t="s">
        <v>22</v>
      </c>
      <c r="N81" s="336">
        <v>818.0</v>
      </c>
      <c r="O81" s="337">
        <v>853608.0</v>
      </c>
      <c r="P81" s="253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</row>
    <row r="82" ht="15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335" t="s">
        <v>19</v>
      </c>
      <c r="N82" s="336">
        <v>782.0</v>
      </c>
      <c r="O82" s="337">
        <v>1356570.0</v>
      </c>
      <c r="P82" s="253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</row>
    <row r="83" ht="15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335" t="s">
        <v>29</v>
      </c>
      <c r="N83" s="336">
        <v>960.0</v>
      </c>
      <c r="O83" s="337">
        <v>1679690.0</v>
      </c>
      <c r="P83" s="253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</row>
    <row r="84" ht="15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335" t="s">
        <v>189</v>
      </c>
      <c r="N84" s="336">
        <v>419.0</v>
      </c>
      <c r="O84" s="337">
        <v>677695.0</v>
      </c>
      <c r="P84" s="253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</row>
    <row r="85" ht="15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335" t="s">
        <v>190</v>
      </c>
      <c r="N85" s="336">
        <v>28883.0</v>
      </c>
      <c r="O85" s="337">
        <v>3.8134563E7</v>
      </c>
      <c r="P85" s="253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</row>
    <row r="86" ht="15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253"/>
      <c r="N86" s="253"/>
      <c r="O86" s="253"/>
      <c r="P86" s="253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</row>
    <row r="87" ht="15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</row>
    <row r="88" ht="15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</row>
    <row r="89" ht="15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</row>
    <row r="90" ht="15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</row>
    <row r="91" ht="15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</row>
    <row r="92" ht="15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</row>
    <row r="93" ht="15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</row>
    <row r="94" ht="15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</row>
    <row r="95" ht="15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</row>
    <row r="96" ht="15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</row>
    <row r="97" ht="15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</row>
    <row r="98" ht="15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</row>
    <row r="99" ht="15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</row>
    <row r="100" ht="15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</row>
    <row r="101" ht="15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</row>
    <row r="102" ht="15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</row>
    <row r="103" ht="15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</row>
    <row r="104" ht="15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</row>
    <row r="105" ht="15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</row>
    <row r="106" ht="15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</row>
    <row r="107" ht="15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</row>
    <row r="108" ht="15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</row>
    <row r="109" ht="15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</row>
    <row r="110" ht="15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</row>
    <row r="111" ht="15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</row>
    <row r="112" ht="15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</row>
    <row r="113" ht="15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</row>
    <row r="114" ht="15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</row>
    <row r="115" ht="15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</row>
    <row r="116" ht="15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</row>
    <row r="117" ht="15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</row>
    <row r="118" ht="15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</row>
    <row r="119" ht="15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</row>
    <row r="120" ht="15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</row>
    <row r="121" ht="15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</row>
    <row r="122" ht="15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</row>
    <row r="123" ht="15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</row>
    <row r="124" ht="15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</row>
    <row r="125" ht="15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</row>
    <row r="126" ht="15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</row>
    <row r="127" ht="15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</row>
    <row r="128" ht="15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</row>
    <row r="129" ht="15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</row>
    <row r="130" ht="15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</row>
    <row r="131" ht="15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</row>
    <row r="132" ht="15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</row>
    <row r="133" ht="15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</row>
    <row r="134" ht="15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</row>
    <row r="135" ht="15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</row>
    <row r="136" ht="15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</row>
    <row r="137" ht="15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</row>
    <row r="138" ht="15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</row>
    <row r="139" ht="15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</row>
    <row r="140" ht="15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</row>
    <row r="141" ht="15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</row>
    <row r="142" ht="15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</row>
    <row r="143" ht="15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</row>
    <row r="144" ht="15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</row>
    <row r="145" ht="15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</row>
    <row r="146" ht="15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</row>
    <row r="147" ht="15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</row>
    <row r="148" ht="15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</row>
    <row r="149" ht="15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</row>
    <row r="150" ht="15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</row>
    <row r="151" ht="15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</row>
    <row r="152" ht="15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</row>
    <row r="153" ht="15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</row>
    <row r="154" ht="15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</row>
    <row r="155" ht="15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</row>
    <row r="156" ht="15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</row>
    <row r="157" ht="15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</row>
    <row r="158" ht="15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</row>
    <row r="159" ht="15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</row>
    <row r="160" ht="15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</row>
    <row r="161" ht="15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</row>
    <row r="162" ht="15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</row>
    <row r="163" ht="15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</row>
    <row r="164" ht="15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</row>
    <row r="165" ht="15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</row>
    <row r="166" ht="15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</row>
    <row r="167" ht="15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</row>
    <row r="168" ht="15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</row>
    <row r="169" ht="15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</row>
    <row r="170" ht="15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</row>
    <row r="171" ht="15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</row>
    <row r="172" ht="15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</row>
    <row r="173" ht="15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</row>
    <row r="174" ht="15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</row>
    <row r="175" ht="15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</row>
    <row r="176" ht="15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</row>
    <row r="177" ht="15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</row>
    <row r="178" ht="15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</row>
    <row r="179" ht="15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</row>
    <row r="180" ht="15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</row>
    <row r="181" ht="15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</row>
    <row r="182" ht="15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</row>
    <row r="183" ht="15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</row>
    <row r="184" ht="15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</row>
    <row r="185" ht="15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</row>
    <row r="186" ht="15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</row>
    <row r="187" ht="15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</row>
    <row r="188" ht="15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</row>
    <row r="189" ht="15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</row>
    <row r="190" ht="15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</row>
    <row r="191" ht="15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</row>
    <row r="192" ht="15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</row>
    <row r="193" ht="15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</row>
    <row r="194" ht="15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</row>
    <row r="201" ht="15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</row>
    <row r="202" ht="15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</row>
    <row r="203" ht="15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</row>
    <row r="204" ht="15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</row>
    <row r="205" ht="15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</row>
    <row r="206" ht="15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</row>
    <row r="207" ht="15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</row>
    <row r="208" ht="15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</row>
    <row r="209" ht="15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</row>
    <row r="210" ht="15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</row>
    <row r="211" ht="15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</row>
    <row r="215" ht="15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</row>
    <row r="216" ht="15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</row>
    <row r="217" ht="15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</row>
    <row r="218" ht="15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</row>
    <row r="219" ht="15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</row>
    <row r="220" ht="15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</row>
    <row r="221" ht="15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</row>
    <row r="222" ht="15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</row>
    <row r="223" ht="15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</row>
    <row r="224" ht="15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</row>
    <row r="225" ht="15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</row>
    <row r="226" ht="15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</row>
    <row r="227" ht="15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</row>
    <row r="228" ht="15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</row>
    <row r="229" ht="15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</row>
    <row r="231" ht="15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</row>
    <row r="242" ht="15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</row>
    <row r="243" ht="15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</row>
    <row r="244" ht="15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</row>
    <row r="245" ht="15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</row>
    <row r="246" ht="15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</row>
    <row r="247" ht="15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</row>
    <row r="248" ht="15.7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</row>
    <row r="249" ht="15.7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</row>
    <row r="250" ht="15.7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</row>
    <row r="251" ht="15.7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</row>
    <row r="252" ht="15.7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</row>
    <row r="253" ht="15.7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</row>
    <row r="254" ht="15.7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</row>
    <row r="255" ht="15.7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</row>
    <row r="256" ht="15.7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</row>
    <row r="257" ht="15.7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</row>
    <row r="258" ht="15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</row>
    <row r="259" ht="15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</row>
    <row r="260" ht="15.7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</row>
    <row r="261" ht="15.7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</row>
    <row r="262" ht="15.7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</row>
    <row r="263" ht="15.7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</row>
    <row r="264" ht="15.7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</row>
    <row r="265" ht="15.7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</row>
    <row r="266" ht="15.7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</row>
    <row r="267" ht="15.7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</row>
    <row r="268" ht="15.7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</row>
    <row r="269" ht="15.7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</row>
    <row r="270" ht="15.7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</row>
    <row r="271" ht="15.7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</row>
    <row r="272" ht="15.7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</row>
    <row r="273" ht="15.7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</row>
    <row r="274" ht="15.7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</row>
    <row r="275" ht="15.7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</row>
    <row r="276" ht="15.7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</row>
    <row r="277" ht="15.7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</row>
    <row r="278" ht="15.7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</row>
    <row r="279" ht="15.7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</row>
    <row r="280" ht="15.7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</row>
    <row r="281" ht="15.7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</row>
    <row r="282" ht="15.7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</row>
    <row r="283" ht="15.7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</row>
    <row r="284" ht="15.7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</row>
    <row r="285" ht="15.7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</row>
    <row r="286" ht="15.7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</row>
    <row r="287" ht="15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</row>
    <row r="288" ht="15.7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</row>
    <row r="289" ht="15.7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</row>
    <row r="290" ht="15.7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</row>
    <row r="291" ht="15.7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</row>
    <row r="292" ht="15.7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</row>
    <row r="293" ht="15.7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</row>
    <row r="294" ht="15.7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</row>
    <row r="295" ht="15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</row>
    <row r="296" ht="15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</row>
    <row r="297" ht="15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</row>
    <row r="298" ht="15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</row>
    <row r="299" ht="15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</row>
    <row r="300" ht="15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</row>
    <row r="301" ht="15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</row>
    <row r="302" ht="15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</row>
    <row r="303" ht="15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</row>
    <row r="304" ht="15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</row>
    <row r="305" ht="15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</row>
    <row r="306" ht="15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</row>
    <row r="307" ht="15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</row>
    <row r="308" ht="15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</row>
    <row r="309" ht="15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</row>
    <row r="310" ht="15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</row>
    <row r="311" ht="15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</row>
    <row r="312" ht="15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</row>
    <row r="313" ht="15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</row>
    <row r="314" ht="15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</row>
    <row r="315" ht="15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</row>
    <row r="316" ht="15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</row>
    <row r="317" ht="15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</row>
    <row r="318" ht="15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</row>
    <row r="319" ht="15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</row>
    <row r="320" ht="15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</row>
    <row r="321" ht="15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</row>
    <row r="322" ht="15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</row>
    <row r="323" ht="15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</row>
    <row r="324" ht="15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</row>
    <row r="325" ht="15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</row>
    <row r="326" ht="15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</row>
    <row r="327" ht="15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</row>
    <row r="328" ht="15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</row>
    <row r="329" ht="15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</row>
    <row r="330" ht="15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</row>
    <row r="331" ht="15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</row>
    <row r="332" ht="15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</row>
    <row r="333" ht="15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</row>
    <row r="334" ht="15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</row>
    <row r="335" ht="15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</row>
    <row r="336" ht="15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</row>
    <row r="337" ht="15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</row>
    <row r="338" ht="15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</row>
    <row r="339" ht="15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</row>
    <row r="340" ht="15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</row>
    <row r="341" ht="15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</row>
    <row r="342" ht="15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</row>
    <row r="343" ht="15.7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</row>
    <row r="344" ht="15.7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</row>
    <row r="345" ht="15.7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</row>
    <row r="346" ht="15.7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</row>
    <row r="347" ht="15.7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</row>
    <row r="348" ht="15.7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</row>
    <row r="349" ht="15.7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</row>
    <row r="350" ht="15.7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</row>
    <row r="351" ht="15.7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</row>
    <row r="352" ht="15.7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</row>
    <row r="353" ht="15.7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</row>
    <row r="354" ht="15.7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</row>
    <row r="355" ht="15.7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</row>
    <row r="356" ht="15.7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</row>
    <row r="357" ht="15.7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</row>
    <row r="358" ht="15.7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</row>
    <row r="359" ht="15.7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</row>
    <row r="360" ht="15.7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</row>
    <row r="361" ht="15.7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</row>
    <row r="362" ht="15.7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</row>
    <row r="363" ht="15.7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</row>
    <row r="364" ht="15.7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</row>
    <row r="365" ht="15.7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</row>
    <row r="366" ht="15.7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</row>
    <row r="367" ht="15.7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</row>
    <row r="368" ht="15.7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</row>
    <row r="369" ht="15.7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</row>
    <row r="370" ht="15.7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</row>
    <row r="371" ht="15.7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</row>
    <row r="372" ht="15.7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</row>
    <row r="373" ht="15.7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</row>
    <row r="374" ht="15.7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</row>
    <row r="375" ht="15.7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</row>
    <row r="376" ht="15.7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</row>
    <row r="377" ht="15.7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</row>
    <row r="378" ht="15.7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</row>
    <row r="379" ht="15.7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</row>
    <row r="380" ht="15.7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</row>
    <row r="381" ht="15.7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</row>
    <row r="382" ht="15.7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</row>
    <row r="383" ht="15.7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</row>
    <row r="384" ht="15.7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</row>
    <row r="385" ht="15.7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</row>
    <row r="386" ht="15.7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</row>
    <row r="387" ht="15.7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</row>
    <row r="388" ht="15.7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</row>
    <row r="389" ht="15.7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</row>
    <row r="390" ht="15.7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</row>
    <row r="391" ht="15.7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</row>
    <row r="392" ht="15.7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</row>
    <row r="393" ht="15.7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</row>
    <row r="394" ht="15.7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</row>
    <row r="395" ht="15.7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</row>
    <row r="396" ht="15.7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</row>
    <row r="397" ht="15.7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</row>
    <row r="398" ht="15.7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</row>
    <row r="399" ht="15.7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</row>
    <row r="400" ht="15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</row>
    <row r="401" ht="15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</row>
    <row r="402" ht="15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</row>
    <row r="403" ht="15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</row>
    <row r="404" ht="15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</row>
    <row r="405" ht="15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</row>
    <row r="406" ht="15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</row>
    <row r="407" ht="15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</row>
    <row r="408" ht="15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</row>
    <row r="409" ht="15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</row>
    <row r="410" ht="15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</row>
    <row r="411" ht="15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</row>
    <row r="412" ht="15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</row>
    <row r="413" ht="15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</row>
    <row r="414" ht="15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</row>
    <row r="415" ht="15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</row>
    <row r="416" ht="15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</row>
    <row r="417" ht="15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</row>
    <row r="418" ht="15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</row>
    <row r="419" ht="15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</row>
    <row r="420" ht="15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</row>
    <row r="421" ht="15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</row>
    <row r="422" ht="15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</row>
    <row r="423" ht="15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</row>
    <row r="424" ht="15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</row>
    <row r="425" ht="15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</row>
    <row r="426" ht="15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</row>
    <row r="427" ht="15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</row>
    <row r="428" ht="15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</row>
    <row r="429" ht="15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</row>
    <row r="430" ht="15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</row>
    <row r="431" ht="15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</row>
    <row r="432" ht="15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</row>
    <row r="433" ht="15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</row>
    <row r="434" ht="15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</row>
    <row r="435" ht="15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</row>
    <row r="436" ht="15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</row>
    <row r="437" ht="15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</row>
    <row r="438" ht="15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</row>
    <row r="439" ht="15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</row>
    <row r="440" ht="15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</row>
    <row r="441" ht="15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</row>
    <row r="442" ht="15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</row>
    <row r="443" ht="15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</row>
    <row r="444" ht="15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</row>
    <row r="445" ht="15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</row>
    <row r="446" ht="15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</row>
    <row r="447" ht="15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</row>
    <row r="448" ht="15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</row>
    <row r="449" ht="15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</row>
    <row r="450" ht="15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</row>
    <row r="451" ht="15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</row>
    <row r="452" ht="15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</row>
    <row r="453" ht="15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</row>
    <row r="454" ht="15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</row>
    <row r="455" ht="15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</row>
    <row r="456" ht="15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</row>
    <row r="457" ht="15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</row>
    <row r="458" ht="15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</row>
    <row r="459" ht="15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</row>
    <row r="460" ht="15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</row>
    <row r="461" ht="15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</row>
    <row r="462" ht="15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</row>
    <row r="463" ht="15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</row>
    <row r="464" ht="15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</row>
    <row r="465" ht="15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</row>
    <row r="466" ht="15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</row>
    <row r="467" ht="15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</row>
    <row r="468" ht="15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</row>
    <row r="469" ht="15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</row>
    <row r="470" ht="15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</row>
    <row r="471" ht="15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</row>
    <row r="472" ht="15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</row>
    <row r="473" ht="15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</row>
    <row r="474" ht="15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</row>
    <row r="475" ht="15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</row>
    <row r="476" ht="15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</row>
    <row r="477" ht="15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</row>
    <row r="478" ht="15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</row>
    <row r="479" ht="15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</row>
    <row r="480" ht="15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</row>
    <row r="481" ht="15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</row>
    <row r="482" ht="15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</row>
    <row r="483" ht="15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</row>
    <row r="484" ht="15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</row>
    <row r="485" ht="15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</row>
    <row r="486" ht="15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</row>
    <row r="487" ht="15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</row>
    <row r="488" ht="15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</row>
    <row r="489" ht="15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</row>
    <row r="490" ht="15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</row>
    <row r="491" ht="15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</row>
    <row r="492" ht="15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</row>
    <row r="493" ht="15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</row>
    <row r="494" ht="15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</row>
    <row r="495" ht="15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</row>
    <row r="496" ht="15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</row>
    <row r="497" ht="15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</row>
    <row r="498" ht="15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</row>
    <row r="499" ht="15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</row>
    <row r="500" ht="15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</row>
    <row r="501" ht="15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</row>
    <row r="502" ht="15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</row>
    <row r="503" ht="15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</row>
    <row r="504" ht="15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</row>
    <row r="505" ht="15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</row>
    <row r="506" ht="15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</row>
    <row r="507" ht="15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</row>
    <row r="508" ht="15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</row>
    <row r="509" ht="15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</row>
    <row r="510" ht="15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</row>
    <row r="511" ht="15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</row>
    <row r="512" ht="15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</row>
    <row r="513" ht="15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</row>
    <row r="514" ht="15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</row>
    <row r="515" ht="15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</row>
    <row r="516" ht="15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</row>
    <row r="517" ht="15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</row>
    <row r="518" ht="15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</row>
    <row r="519" ht="15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</row>
    <row r="520" ht="15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</row>
    <row r="521" ht="15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</row>
    <row r="522" ht="15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</row>
    <row r="523" ht="15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</row>
    <row r="524" ht="15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</row>
    <row r="525" ht="15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</row>
    <row r="526" ht="15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</row>
    <row r="527" ht="15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</row>
    <row r="528" ht="15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</row>
    <row r="529" ht="15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</row>
    <row r="530" ht="15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</row>
    <row r="531" ht="15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</row>
    <row r="532" ht="15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</row>
    <row r="533" ht="15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</row>
    <row r="534" ht="15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</row>
    <row r="535" ht="15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</row>
    <row r="536" ht="15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</row>
    <row r="537" ht="15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</row>
    <row r="538" ht="15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</row>
    <row r="539" ht="15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</row>
    <row r="540" ht="15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</row>
    <row r="541" ht="15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</row>
    <row r="542" ht="15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</row>
    <row r="543" ht="15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</row>
    <row r="544" ht="15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</row>
    <row r="545" ht="15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</row>
    <row r="546" ht="15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</row>
    <row r="547" ht="15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</row>
    <row r="548" ht="15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</row>
    <row r="549" ht="15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</row>
    <row r="550" ht="15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</row>
    <row r="551" ht="15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</row>
    <row r="552" ht="15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</row>
    <row r="553" ht="15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</row>
    <row r="554" ht="15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</row>
    <row r="555" ht="15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</row>
    <row r="556" ht="15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</row>
    <row r="557" ht="15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</row>
    <row r="558" ht="15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</row>
    <row r="559" ht="15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</row>
    <row r="560" ht="15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</row>
    <row r="561" ht="15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</row>
    <row r="562" ht="15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</row>
    <row r="563" ht="15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</row>
    <row r="564" ht="15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</row>
    <row r="565" ht="15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</row>
    <row r="566" ht="15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</row>
    <row r="567" ht="15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</row>
    <row r="568" ht="15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</row>
    <row r="569" ht="15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</row>
    <row r="570" ht="15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</row>
    <row r="571" ht="15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</row>
    <row r="572" ht="15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</row>
    <row r="573" ht="15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</row>
    <row r="574" ht="15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</row>
    <row r="575" ht="15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</row>
    <row r="576" ht="15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</row>
    <row r="577" ht="15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</row>
    <row r="578" ht="15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</row>
    <row r="579" ht="15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</row>
    <row r="580" ht="15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</row>
    <row r="581" ht="15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</row>
    <row r="582" ht="15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</row>
    <row r="583" ht="15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</row>
    <row r="584" ht="15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</row>
    <row r="585" ht="15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</row>
    <row r="586" ht="15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</row>
    <row r="587" ht="15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</row>
    <row r="588" ht="15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</row>
    <row r="589" ht="15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</row>
    <row r="590" ht="15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</row>
    <row r="591" ht="15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</row>
    <row r="592" ht="15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</row>
    <row r="593" ht="15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</row>
    <row r="594" ht="15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</row>
    <row r="595" ht="15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</row>
    <row r="596" ht="15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</row>
    <row r="597" ht="15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</row>
    <row r="598" ht="15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</row>
    <row r="599" ht="15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</row>
    <row r="600" ht="15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</row>
    <row r="601" ht="15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</row>
    <row r="602" ht="15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</row>
    <row r="603" ht="15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</row>
    <row r="604" ht="15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</row>
    <row r="605" ht="15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</row>
    <row r="606" ht="15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</row>
    <row r="607" ht="15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</row>
    <row r="608" ht="15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</row>
    <row r="609" ht="15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</row>
    <row r="610" ht="15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</row>
    <row r="611" ht="15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</row>
    <row r="612" ht="15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</row>
    <row r="613" ht="15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</row>
    <row r="614" ht="15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</row>
    <row r="615" ht="15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</row>
    <row r="616" ht="15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</row>
    <row r="617" ht="15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</row>
    <row r="618" ht="15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</row>
    <row r="619" ht="15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</row>
    <row r="620" ht="15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</row>
    <row r="621" ht="15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</row>
    <row r="622" ht="15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</row>
    <row r="623" ht="15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</row>
    <row r="624" ht="15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</row>
    <row r="625" ht="15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</row>
    <row r="626" ht="15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</row>
    <row r="627" ht="15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</row>
    <row r="628" ht="15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</row>
    <row r="629" ht="15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</row>
    <row r="630" ht="15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</row>
    <row r="631" ht="15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</row>
    <row r="632" ht="15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</row>
    <row r="633" ht="15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</row>
    <row r="634" ht="15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</row>
    <row r="635" ht="15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</row>
    <row r="636" ht="15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</row>
    <row r="637" ht="15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</row>
    <row r="638" ht="15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</row>
    <row r="639" ht="15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</row>
    <row r="640" ht="15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</row>
    <row r="641" ht="15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</row>
    <row r="642" ht="15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</row>
    <row r="643" ht="15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</row>
    <row r="644" ht="15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</row>
    <row r="645" ht="15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</row>
    <row r="646" ht="15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</row>
    <row r="647" ht="15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</row>
    <row r="648" ht="15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</row>
    <row r="649" ht="15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</row>
    <row r="650" ht="15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</row>
    <row r="651" ht="15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</row>
    <row r="652" ht="15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</row>
    <row r="653" ht="15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</row>
    <row r="654" ht="15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</row>
    <row r="655" ht="15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</row>
    <row r="656" ht="15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</row>
    <row r="657" ht="15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</row>
    <row r="658" ht="15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</row>
    <row r="659" ht="15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</row>
    <row r="660" ht="15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</row>
    <row r="661" ht="15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</row>
    <row r="662" ht="15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</row>
    <row r="663" ht="15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</row>
    <row r="664" ht="15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</row>
    <row r="665" ht="15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</row>
    <row r="666" ht="15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</row>
    <row r="667" ht="15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</row>
    <row r="668" ht="15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</row>
    <row r="669" ht="15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</row>
    <row r="670" ht="15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</row>
    <row r="671" ht="15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</row>
    <row r="672" ht="15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</row>
    <row r="673" ht="15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</row>
    <row r="674" ht="15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</row>
    <row r="675" ht="15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</row>
    <row r="676" ht="15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</row>
    <row r="677" ht="15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</row>
    <row r="678" ht="15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</row>
    <row r="679" ht="15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</row>
    <row r="680" ht="15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</row>
    <row r="681" ht="15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</row>
    <row r="682" ht="15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</row>
    <row r="683" ht="15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</row>
    <row r="684" ht="15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</row>
    <row r="685" ht="15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</row>
    <row r="686" ht="15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</row>
    <row r="687" ht="15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</row>
    <row r="688" ht="15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</row>
    <row r="689" ht="15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</row>
    <row r="690" ht="15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</row>
    <row r="691" ht="15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</row>
    <row r="692" ht="15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</row>
    <row r="693" ht="15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</row>
    <row r="694" ht="15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</row>
    <row r="695" ht="15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</row>
    <row r="696" ht="15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</row>
    <row r="697" ht="15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</row>
    <row r="698" ht="15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</row>
    <row r="699" ht="15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</row>
    <row r="700" ht="15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</row>
    <row r="701" ht="15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</row>
    <row r="702" ht="15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</row>
    <row r="703" ht="15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</row>
    <row r="704" ht="15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</row>
    <row r="705" ht="15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</row>
    <row r="706" ht="15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</row>
    <row r="707" ht="15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</row>
    <row r="708" ht="15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</row>
    <row r="709" ht="15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</row>
    <row r="710" ht="15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</row>
    <row r="711" ht="15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</row>
    <row r="712" ht="15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</row>
    <row r="713" ht="15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</row>
    <row r="714" ht="15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</row>
    <row r="715" ht="15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</row>
    <row r="716" ht="15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</row>
    <row r="717" ht="15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</row>
    <row r="718" ht="15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</row>
    <row r="719" ht="15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</row>
    <row r="720" ht="15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</row>
    <row r="721" ht="15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</row>
    <row r="722" ht="15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</row>
    <row r="723" ht="15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</row>
    <row r="724" ht="15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</row>
    <row r="725" ht="15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</row>
    <row r="726" ht="15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</row>
    <row r="727" ht="15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</row>
    <row r="728" ht="15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</row>
    <row r="729" ht="15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</row>
    <row r="730" ht="15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</row>
    <row r="731" ht="15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</row>
    <row r="732" ht="15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</row>
    <row r="733" ht="15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</row>
    <row r="734" ht="15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</row>
    <row r="735" ht="15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</row>
    <row r="736" ht="15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</row>
    <row r="737" ht="15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</row>
    <row r="738" ht="15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</row>
    <row r="739" ht="15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</row>
    <row r="740" ht="15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</row>
    <row r="741" ht="15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</row>
    <row r="742" ht="15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</row>
    <row r="743" ht="15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</row>
    <row r="744" ht="15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</row>
    <row r="745" ht="15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</row>
    <row r="746" ht="15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</row>
    <row r="747" ht="15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</row>
    <row r="748" ht="15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</row>
    <row r="749" ht="15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</row>
    <row r="750" ht="15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</row>
    <row r="751" ht="15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</row>
    <row r="752" ht="15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</row>
    <row r="753" ht="15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</row>
    <row r="754" ht="15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</row>
    <row r="755" ht="15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</row>
    <row r="756" ht="15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</row>
    <row r="757" ht="15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</row>
    <row r="758" ht="15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</row>
    <row r="759" ht="15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</row>
    <row r="760" ht="15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</row>
    <row r="761" ht="15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</row>
    <row r="762" ht="15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</row>
    <row r="763" ht="15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</row>
    <row r="764" ht="15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</row>
    <row r="765" ht="15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</row>
    <row r="766" ht="15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</row>
    <row r="767" ht="15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</row>
    <row r="768" ht="15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</row>
    <row r="769" ht="15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</row>
    <row r="770" ht="15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</row>
    <row r="771" ht="15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</row>
    <row r="772" ht="15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</row>
    <row r="773" ht="15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</row>
    <row r="774" ht="15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</row>
    <row r="775" ht="15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</row>
    <row r="776" ht="15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</row>
    <row r="777" ht="15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</row>
    <row r="778" ht="15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</row>
    <row r="779" ht="15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</row>
    <row r="780" ht="15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</row>
    <row r="781" ht="15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</row>
    <row r="782" ht="15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</row>
    <row r="783" ht="15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</row>
    <row r="784" ht="15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</row>
    <row r="785" ht="15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</row>
    <row r="786" ht="15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</row>
    <row r="787" ht="15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</row>
    <row r="788" ht="15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</row>
    <row r="789" ht="15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</row>
    <row r="790" ht="15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</row>
    <row r="791" ht="15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</row>
    <row r="792" ht="15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</row>
    <row r="793" ht="15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</row>
    <row r="794" ht="15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</row>
    <row r="795" ht="15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</row>
    <row r="796" ht="15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</row>
    <row r="797" ht="15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</row>
    <row r="798" ht="15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</row>
    <row r="799" ht="15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</row>
    <row r="800" ht="15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</row>
    <row r="801" ht="15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</row>
    <row r="802" ht="15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</row>
    <row r="803" ht="15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</row>
    <row r="804" ht="15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</row>
    <row r="805" ht="15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</row>
    <row r="806" ht="15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</row>
    <row r="807" ht="15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</row>
    <row r="808" ht="15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</row>
    <row r="809" ht="15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</row>
    <row r="810" ht="15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</row>
    <row r="811" ht="15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</row>
    <row r="812" ht="15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</row>
    <row r="813" ht="15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</row>
    <row r="814" ht="15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</row>
    <row r="815" ht="15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</row>
    <row r="816" ht="15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</row>
    <row r="817" ht="15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</row>
    <row r="818" ht="15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</row>
    <row r="819" ht="15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</row>
    <row r="820" ht="15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</row>
    <row r="821" ht="15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</row>
    <row r="822" ht="15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</row>
    <row r="823" ht="15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</row>
    <row r="824" ht="15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</row>
    <row r="825" ht="15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</row>
    <row r="826" ht="15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</row>
    <row r="827" ht="15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</row>
    <row r="828" ht="15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</row>
    <row r="829" ht="15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</row>
    <row r="830" ht="15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</row>
    <row r="831" ht="15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</row>
    <row r="832" ht="15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</row>
    <row r="833" ht="15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</row>
    <row r="834" ht="15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</row>
    <row r="835" ht="15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</row>
    <row r="836" ht="15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</row>
    <row r="837" ht="15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</row>
    <row r="838" ht="15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</row>
    <row r="839" ht="15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</row>
    <row r="840" ht="15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</row>
    <row r="841" ht="15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</row>
    <row r="842" ht="15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</row>
    <row r="843" ht="15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</row>
    <row r="844" ht="15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</row>
    <row r="845" ht="15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</row>
    <row r="846" ht="15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</row>
    <row r="847" ht="15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</row>
    <row r="848" ht="15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</row>
    <row r="849" ht="15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</row>
    <row r="850" ht="15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</row>
    <row r="851" ht="15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</row>
    <row r="852" ht="15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</row>
    <row r="853" ht="15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</row>
    <row r="854" ht="15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</row>
    <row r="855" ht="15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</row>
    <row r="856" ht="15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</row>
    <row r="857" ht="15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</row>
    <row r="858" ht="15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</row>
    <row r="859" ht="15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</row>
    <row r="860" ht="15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</row>
    <row r="861" ht="15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</row>
    <row r="862" ht="15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</row>
    <row r="863" ht="15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</row>
    <row r="864" ht="15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</row>
    <row r="865" ht="15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</row>
    <row r="866" ht="15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</row>
    <row r="867" ht="15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</row>
    <row r="868" ht="15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</row>
    <row r="869" ht="15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</row>
    <row r="870" ht="15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</row>
    <row r="871" ht="15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</row>
    <row r="872" ht="15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</row>
    <row r="873" ht="15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</row>
    <row r="874" ht="15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</row>
    <row r="875" ht="15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</row>
    <row r="876" ht="15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</row>
    <row r="877" ht="15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</row>
    <row r="878" ht="15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</row>
    <row r="879" ht="15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</row>
    <row r="880" ht="15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</row>
    <row r="881" ht="15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</row>
    <row r="882" ht="15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</row>
    <row r="883" ht="15.7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</row>
    <row r="884" ht="15.7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</row>
    <row r="885" ht="15.7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</row>
    <row r="886" ht="15.7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</row>
    <row r="887" ht="15.7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</row>
    <row r="888" ht="15.7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</row>
    <row r="889" ht="15.7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</row>
    <row r="890" ht="15.7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</row>
    <row r="891" ht="15.7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</row>
    <row r="892" ht="15.7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</row>
    <row r="893" ht="15.7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</row>
    <row r="894" ht="15.7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</row>
    <row r="895" ht="15.7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</row>
    <row r="896" ht="15.7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</row>
    <row r="897" ht="15.7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</row>
    <row r="898" ht="15.7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</row>
    <row r="899" ht="15.7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</row>
    <row r="900" ht="15.7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</row>
    <row r="901" ht="15.7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</row>
    <row r="902" ht="15.7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</row>
    <row r="903" ht="15.7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</row>
    <row r="904" ht="15.7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</row>
    <row r="905" ht="15.7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</row>
    <row r="906" ht="15.7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</row>
    <row r="907" ht="15.7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</row>
    <row r="908" ht="15.7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</row>
    <row r="909" ht="15.7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</row>
    <row r="910" ht="15.7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</row>
    <row r="911" ht="15.7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</row>
    <row r="912" ht="15.7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</row>
    <row r="913" ht="15.7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</row>
    <row r="914" ht="15.7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</row>
    <row r="915" ht="15.7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</row>
    <row r="916" ht="15.7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</row>
    <row r="917" ht="15.7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</row>
    <row r="918" ht="15.7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</row>
    <row r="919" ht="15.7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</row>
    <row r="920" ht="15.7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</row>
    <row r="921" ht="15.7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</row>
    <row r="922" ht="15.7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</row>
    <row r="923" ht="15.7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</row>
    <row r="924" ht="15.7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</row>
    <row r="925" ht="15.7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</row>
    <row r="926" ht="15.7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</row>
    <row r="927" ht="15.7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</row>
    <row r="928" ht="15.7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</row>
    <row r="929" ht="15.7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</row>
    <row r="930" ht="15.7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</row>
    <row r="931" ht="15.7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</row>
    <row r="932" ht="15.7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</row>
    <row r="933" ht="15.7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</row>
    <row r="934" ht="15.7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</row>
    <row r="935" ht="15.7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</row>
    <row r="936" ht="15.7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</row>
    <row r="937" ht="15.7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</row>
    <row r="938" ht="15.7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</row>
    <row r="939" ht="15.7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</row>
    <row r="940" ht="15.7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</row>
    <row r="941" ht="15.7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</row>
    <row r="942" ht="15.7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</row>
    <row r="943" ht="15.7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</row>
    <row r="944" ht="15.7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</row>
    <row r="945" ht="15.7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</row>
    <row r="946" ht="15.7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</row>
    <row r="947" ht="15.7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</row>
    <row r="948" ht="15.7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</row>
    <row r="949" ht="15.7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</row>
    <row r="950" ht="15.7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</row>
    <row r="951" ht="15.7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</row>
    <row r="952" ht="15.7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</row>
    <row r="953" ht="15.7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</row>
    <row r="954" ht="15.7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</row>
    <row r="955" ht="15.7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</row>
    <row r="956" ht="15.7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</row>
    <row r="957" ht="15.7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</row>
    <row r="958" ht="15.7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</row>
    <row r="959" ht="15.7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</row>
    <row r="960" ht="15.7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</row>
    <row r="961" ht="15.7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</row>
    <row r="962" ht="15.7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</row>
    <row r="963" ht="15.7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</row>
    <row r="964" ht="15.7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</row>
    <row r="965" ht="15.7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</row>
    <row r="966" ht="15.7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</row>
    <row r="967" ht="15.7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</row>
    <row r="968" ht="15.7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</row>
    <row r="969" ht="15.7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</row>
    <row r="970" ht="15.7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9"/>
    </row>
    <row r="971" ht="15.7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9"/>
    </row>
    <row r="972" ht="15.7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9"/>
    </row>
    <row r="973" ht="15.7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</row>
    <row r="974" ht="15.7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9"/>
    </row>
    <row r="975" ht="15.7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  <c r="AD975" s="49"/>
    </row>
    <row r="976" ht="15.7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</row>
    <row r="977" ht="15.7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  <c r="AD977" s="49"/>
    </row>
    <row r="978" ht="15.7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  <c r="AD978" s="49"/>
    </row>
    <row r="979" ht="15.7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  <c r="AD979" s="49"/>
    </row>
    <row r="980" ht="15.7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</row>
    <row r="981" ht="15.7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  <c r="AD981" s="49"/>
    </row>
    <row r="982" ht="15.7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  <c r="AD982" s="49"/>
    </row>
    <row r="983" ht="15.7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  <c r="AD983" s="49"/>
    </row>
    <row r="984" ht="15.7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  <c r="AD984" s="49"/>
    </row>
    <row r="985" ht="15.7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  <c r="AD985" s="49"/>
    </row>
    <row r="986" ht="15.7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</row>
    <row r="987" ht="15.7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  <c r="AD987" s="49"/>
    </row>
    <row r="988" ht="15.7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</row>
    <row r="989" ht="15.7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  <c r="AD989" s="49"/>
    </row>
    <row r="990" ht="15.7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  <c r="AD990" s="49"/>
    </row>
    <row r="991" ht="15.7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  <c r="AD991" s="49"/>
    </row>
    <row r="992" ht="15.7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</row>
    <row r="993" ht="15.7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  <c r="AD993" s="49"/>
    </row>
    <row r="994" ht="15.7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</row>
    <row r="995" ht="15.7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  <c r="AD995" s="49"/>
    </row>
    <row r="996" ht="15.7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  <c r="AD996" s="49"/>
    </row>
    <row r="997" ht="15.7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  <c r="AD997" s="49"/>
    </row>
    <row r="998" ht="15.7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  <c r="AD998" s="49"/>
    </row>
    <row r="999" ht="15.7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  <c r="AD999" s="49"/>
    </row>
    <row r="1000" ht="15.75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  <c r="AD1000" s="49"/>
    </row>
  </sheetData>
  <mergeCells count="3">
    <mergeCell ref="A3:H3"/>
    <mergeCell ref="A4:H4"/>
    <mergeCell ref="M5:S5"/>
  </mergeCells>
  <printOptions/>
  <pageMargins bottom="0.7480314960629921" footer="0.0" header="0.0" left="0.7086614173228347" right="0.7086614173228347" top="0.7480314960629921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0"/>
    <col customWidth="1" min="3" max="3" width="13.86"/>
    <col customWidth="1" min="4" max="4" width="18.71"/>
    <col customWidth="1" min="5" max="5" width="14.71"/>
    <col customWidth="1" min="6" max="9" width="8.71"/>
    <col customWidth="1" min="10" max="10" width="10.86"/>
    <col customWidth="1" min="11" max="11" width="11.86"/>
    <col customWidth="1" min="12" max="24" width="8.71"/>
    <col customWidth="1" min="25" max="25" width="12.0"/>
    <col customWidth="1" min="26" max="33" width="8.71"/>
  </cols>
  <sheetData>
    <row r="1">
      <c r="B1" s="338">
        <v>42583.0</v>
      </c>
      <c r="C1" s="338">
        <f t="shared" ref="C1:AF1" si="1">+B1+1</f>
        <v>42584</v>
      </c>
      <c r="D1" s="338">
        <f t="shared" si="1"/>
        <v>42585</v>
      </c>
      <c r="E1" s="338">
        <f t="shared" si="1"/>
        <v>42586</v>
      </c>
      <c r="F1" s="338">
        <f t="shared" si="1"/>
        <v>42587</v>
      </c>
      <c r="G1" s="338">
        <f t="shared" si="1"/>
        <v>42588</v>
      </c>
      <c r="H1" s="338">
        <f t="shared" si="1"/>
        <v>42589</v>
      </c>
      <c r="I1" s="338">
        <f t="shared" si="1"/>
        <v>42590</v>
      </c>
      <c r="J1" s="338">
        <f t="shared" si="1"/>
        <v>42591</v>
      </c>
      <c r="K1" s="338">
        <f t="shared" si="1"/>
        <v>42592</v>
      </c>
      <c r="L1" s="338">
        <f t="shared" si="1"/>
        <v>42593</v>
      </c>
      <c r="M1" s="338">
        <f t="shared" si="1"/>
        <v>42594</v>
      </c>
      <c r="N1" s="338">
        <f t="shared" si="1"/>
        <v>42595</v>
      </c>
      <c r="O1" s="338">
        <f t="shared" si="1"/>
        <v>42596</v>
      </c>
      <c r="P1" s="338">
        <f t="shared" si="1"/>
        <v>42597</v>
      </c>
      <c r="Q1" s="338">
        <f t="shared" si="1"/>
        <v>42598</v>
      </c>
      <c r="R1" s="338">
        <f t="shared" si="1"/>
        <v>42599</v>
      </c>
      <c r="S1" s="338">
        <f t="shared" si="1"/>
        <v>42600</v>
      </c>
      <c r="T1" s="338">
        <f t="shared" si="1"/>
        <v>42601</v>
      </c>
      <c r="U1" s="338">
        <f t="shared" si="1"/>
        <v>42602</v>
      </c>
      <c r="V1" s="338">
        <f t="shared" si="1"/>
        <v>42603</v>
      </c>
      <c r="W1" s="338">
        <f t="shared" si="1"/>
        <v>42604</v>
      </c>
      <c r="X1" s="338">
        <f t="shared" si="1"/>
        <v>42605</v>
      </c>
      <c r="Y1" s="338">
        <f t="shared" si="1"/>
        <v>42606</v>
      </c>
      <c r="Z1" s="338">
        <f t="shared" si="1"/>
        <v>42607</v>
      </c>
      <c r="AA1" s="338">
        <f t="shared" si="1"/>
        <v>42608</v>
      </c>
      <c r="AB1" s="338">
        <f t="shared" si="1"/>
        <v>42609</v>
      </c>
      <c r="AC1" s="338">
        <f t="shared" si="1"/>
        <v>42610</v>
      </c>
      <c r="AD1" s="338">
        <f t="shared" si="1"/>
        <v>42611</v>
      </c>
      <c r="AE1" s="338">
        <f t="shared" si="1"/>
        <v>42612</v>
      </c>
      <c r="AF1" s="338">
        <f t="shared" si="1"/>
        <v>42613</v>
      </c>
      <c r="AG1" s="36" t="s">
        <v>297</v>
      </c>
    </row>
    <row r="2">
      <c r="D2" s="339" t="s">
        <v>298</v>
      </c>
      <c r="V2" s="340"/>
    </row>
    <row r="3">
      <c r="A3" s="35">
        <v>2510000.0</v>
      </c>
      <c r="B3" s="240">
        <v>2510133.0</v>
      </c>
      <c r="C3" s="240">
        <v>2510805.0</v>
      </c>
      <c r="D3" s="240">
        <v>2510905.0</v>
      </c>
      <c r="E3" s="240">
        <v>2511750.0</v>
      </c>
      <c r="F3" s="240">
        <v>2512155.0</v>
      </c>
      <c r="G3" s="240">
        <v>2512511.0</v>
      </c>
      <c r="H3" s="240">
        <v>2512658.0</v>
      </c>
      <c r="I3" s="240">
        <v>2512758.0</v>
      </c>
      <c r="J3" s="240">
        <v>2512856.0</v>
      </c>
      <c r="K3" s="240">
        <v>2512900.0</v>
      </c>
      <c r="L3" s="240">
        <v>2513210.0</v>
      </c>
      <c r="M3" s="240">
        <v>2513310.0</v>
      </c>
      <c r="N3" s="240">
        <v>2514092.0</v>
      </c>
      <c r="O3" s="240">
        <v>0.0</v>
      </c>
      <c r="P3" s="240">
        <v>2515843.0</v>
      </c>
      <c r="Q3" s="240">
        <v>0.0</v>
      </c>
      <c r="R3" s="240">
        <v>2517228.0</v>
      </c>
      <c r="S3" s="240">
        <v>0.0</v>
      </c>
      <c r="T3" s="240">
        <v>0.0</v>
      </c>
      <c r="U3" s="240">
        <v>0.0</v>
      </c>
      <c r="V3" s="240">
        <v>0.0</v>
      </c>
      <c r="W3" s="240">
        <v>0.0</v>
      </c>
      <c r="X3" s="240">
        <v>0.0</v>
      </c>
      <c r="Y3" s="240">
        <v>0.0</v>
      </c>
      <c r="Z3" s="240">
        <v>0.0</v>
      </c>
      <c r="AA3" s="240">
        <v>0.0</v>
      </c>
      <c r="AB3" s="240">
        <v>0.0</v>
      </c>
      <c r="AC3" s="240">
        <v>0.0</v>
      </c>
      <c r="AD3" s="240">
        <v>0.0</v>
      </c>
      <c r="AE3" s="240">
        <v>0.0</v>
      </c>
      <c r="AF3" s="240">
        <v>0.0</v>
      </c>
    </row>
    <row r="4">
      <c r="V4" s="340"/>
      <c r="AG4" s="35" t="s">
        <v>100</v>
      </c>
    </row>
    <row r="5">
      <c r="A5" s="35" t="s">
        <v>299</v>
      </c>
      <c r="B5" s="35">
        <f>+B3-A3</f>
        <v>133</v>
      </c>
      <c r="C5" s="35">
        <f>C3-B3</f>
        <v>672</v>
      </c>
      <c r="D5" s="35">
        <v>0.0</v>
      </c>
      <c r="E5" s="35">
        <f t="shared" ref="E5:H5" si="2">E3-D3</f>
        <v>845</v>
      </c>
      <c r="F5" s="35">
        <f t="shared" si="2"/>
        <v>405</v>
      </c>
      <c r="G5" s="35">
        <f t="shared" si="2"/>
        <v>356</v>
      </c>
      <c r="H5" s="35">
        <f t="shared" si="2"/>
        <v>147</v>
      </c>
      <c r="I5" s="35">
        <v>0.0</v>
      </c>
      <c r="J5" s="35">
        <f t="shared" ref="J5:N5" si="3">J3-I3</f>
        <v>98</v>
      </c>
      <c r="K5" s="35">
        <f t="shared" si="3"/>
        <v>44</v>
      </c>
      <c r="L5" s="35">
        <f t="shared" si="3"/>
        <v>310</v>
      </c>
      <c r="M5" s="35">
        <f t="shared" si="3"/>
        <v>100</v>
      </c>
      <c r="N5" s="35">
        <f t="shared" si="3"/>
        <v>782</v>
      </c>
      <c r="O5" s="35">
        <v>0.0</v>
      </c>
      <c r="P5" s="35">
        <f t="shared" ref="P5:R5" si="4">P3-O3</f>
        <v>2515843</v>
      </c>
      <c r="Q5" s="35">
        <f t="shared" si="4"/>
        <v>-2515843</v>
      </c>
      <c r="R5" s="35">
        <f t="shared" si="4"/>
        <v>2517228</v>
      </c>
      <c r="S5" s="35">
        <v>0.0</v>
      </c>
      <c r="T5" s="35">
        <v>0.0</v>
      </c>
      <c r="U5" s="35">
        <f>U3-T3</f>
        <v>0</v>
      </c>
      <c r="V5" s="35">
        <v>0.0</v>
      </c>
      <c r="W5" s="35">
        <f t="shared" ref="W5:AC5" si="5">W3-V3</f>
        <v>0</v>
      </c>
      <c r="X5" s="35">
        <f t="shared" si="5"/>
        <v>0</v>
      </c>
      <c r="Y5" s="35">
        <f t="shared" si="5"/>
        <v>0</v>
      </c>
      <c r="Z5" s="35">
        <f t="shared" si="5"/>
        <v>0</v>
      </c>
      <c r="AA5" s="35">
        <f t="shared" si="5"/>
        <v>0</v>
      </c>
      <c r="AB5" s="35">
        <f t="shared" si="5"/>
        <v>0</v>
      </c>
      <c r="AC5" s="35">
        <f t="shared" si="5"/>
        <v>0</v>
      </c>
      <c r="AD5" s="35">
        <v>0.0</v>
      </c>
      <c r="AE5" s="35">
        <f t="shared" ref="AE5:AF5" si="6">AE3-AD3</f>
        <v>0</v>
      </c>
      <c r="AF5" s="35">
        <f t="shared" si="6"/>
        <v>0</v>
      </c>
      <c r="AG5" s="339" t="s">
        <v>100</v>
      </c>
    </row>
    <row r="6">
      <c r="A6" s="35" t="s">
        <v>300</v>
      </c>
      <c r="B6" s="340">
        <f t="shared" ref="B6:R6" si="7">B5*16</f>
        <v>2128</v>
      </c>
      <c r="C6" s="340">
        <f t="shared" si="7"/>
        <v>10752</v>
      </c>
      <c r="D6" s="340">
        <f t="shared" si="7"/>
        <v>0</v>
      </c>
      <c r="E6" s="340">
        <f t="shared" si="7"/>
        <v>13520</v>
      </c>
      <c r="F6" s="340">
        <f t="shared" si="7"/>
        <v>6480</v>
      </c>
      <c r="G6" s="340">
        <f t="shared" si="7"/>
        <v>5696</v>
      </c>
      <c r="H6" s="340">
        <f t="shared" si="7"/>
        <v>2352</v>
      </c>
      <c r="I6" s="340">
        <f t="shared" si="7"/>
        <v>0</v>
      </c>
      <c r="J6" s="340">
        <f t="shared" si="7"/>
        <v>1568</v>
      </c>
      <c r="K6" s="340">
        <f t="shared" si="7"/>
        <v>704</v>
      </c>
      <c r="L6" s="340">
        <f t="shared" si="7"/>
        <v>4960</v>
      </c>
      <c r="M6" s="340">
        <f t="shared" si="7"/>
        <v>1600</v>
      </c>
      <c r="N6" s="340">
        <f t="shared" si="7"/>
        <v>12512</v>
      </c>
      <c r="O6" s="340">
        <f t="shared" si="7"/>
        <v>0</v>
      </c>
      <c r="P6" s="340">
        <f t="shared" si="7"/>
        <v>40253488</v>
      </c>
      <c r="Q6" s="340">
        <f t="shared" si="7"/>
        <v>-40253488</v>
      </c>
      <c r="R6" s="340">
        <f t="shared" si="7"/>
        <v>40275648</v>
      </c>
      <c r="S6" s="340" t="s">
        <v>100</v>
      </c>
      <c r="T6" s="340" t="s">
        <v>100</v>
      </c>
      <c r="U6" s="340" t="s">
        <v>100</v>
      </c>
      <c r="V6" s="240">
        <f t="shared" ref="V6:AF6" si="8">V5*16</f>
        <v>0</v>
      </c>
      <c r="W6" s="240">
        <f t="shared" si="8"/>
        <v>0</v>
      </c>
      <c r="X6" s="240">
        <f t="shared" si="8"/>
        <v>0</v>
      </c>
      <c r="Y6" s="240">
        <f t="shared" si="8"/>
        <v>0</v>
      </c>
      <c r="Z6" s="340">
        <f t="shared" si="8"/>
        <v>0</v>
      </c>
      <c r="AA6" s="340">
        <f t="shared" si="8"/>
        <v>0</v>
      </c>
      <c r="AB6" s="340">
        <f t="shared" si="8"/>
        <v>0</v>
      </c>
      <c r="AC6" s="340">
        <f t="shared" si="8"/>
        <v>0</v>
      </c>
      <c r="AD6" s="340">
        <f t="shared" si="8"/>
        <v>0</v>
      </c>
      <c r="AE6" s="340">
        <f t="shared" si="8"/>
        <v>0</v>
      </c>
      <c r="AF6" s="340">
        <f t="shared" si="8"/>
        <v>0</v>
      </c>
      <c r="AG6" s="339">
        <f t="shared" ref="AG6:AG7" si="9">SUM(B6:AF6)</f>
        <v>40337920</v>
      </c>
    </row>
    <row r="7">
      <c r="A7" s="35" t="s">
        <v>301</v>
      </c>
      <c r="B7" s="240">
        <v>835.6</v>
      </c>
      <c r="C7" s="240">
        <v>1383.3</v>
      </c>
      <c r="D7" s="240">
        <v>1912.2</v>
      </c>
      <c r="E7" s="240">
        <v>329.67</v>
      </c>
      <c r="F7" s="240">
        <v>866.73</v>
      </c>
      <c r="G7" s="240">
        <v>740.84</v>
      </c>
      <c r="H7" s="240">
        <v>250.55</v>
      </c>
      <c r="I7" s="240">
        <v>250.55</v>
      </c>
      <c r="J7" s="240">
        <v>250.55</v>
      </c>
      <c r="K7" s="240">
        <v>250.55</v>
      </c>
      <c r="L7" s="240">
        <v>250.55</v>
      </c>
      <c r="M7" s="240">
        <v>605.55</v>
      </c>
      <c r="N7" s="240">
        <v>1776.95</v>
      </c>
      <c r="O7" s="240">
        <v>0.0</v>
      </c>
      <c r="P7" s="240">
        <v>2232.68</v>
      </c>
      <c r="Q7" s="240">
        <v>0.0</v>
      </c>
      <c r="R7" s="240">
        <v>1573.26</v>
      </c>
      <c r="S7" s="240">
        <v>0.0</v>
      </c>
      <c r="T7" s="240">
        <v>0.0</v>
      </c>
      <c r="U7" s="240">
        <v>0.0</v>
      </c>
      <c r="V7" s="240">
        <v>0.0</v>
      </c>
      <c r="W7" s="240">
        <v>0.0</v>
      </c>
      <c r="X7" s="240">
        <v>0.0</v>
      </c>
      <c r="Y7" s="240">
        <v>0.0</v>
      </c>
      <c r="Z7" s="240">
        <v>0.0</v>
      </c>
      <c r="AA7" s="240">
        <v>0.0</v>
      </c>
      <c r="AB7" s="240">
        <v>0.0</v>
      </c>
      <c r="AC7" s="240">
        <v>0.0</v>
      </c>
      <c r="AD7" s="240">
        <v>0.0</v>
      </c>
      <c r="AE7" s="240">
        <v>0.0</v>
      </c>
      <c r="AF7" s="240">
        <v>0.0</v>
      </c>
      <c r="AG7" s="339">
        <f t="shared" si="9"/>
        <v>13509.53</v>
      </c>
    </row>
    <row r="8">
      <c r="A8" s="35" t="s">
        <v>302</v>
      </c>
      <c r="B8" s="35">
        <f t="shared" ref="B8:AG8" si="10">B6/B7</f>
        <v>2.546673049</v>
      </c>
      <c r="C8" s="35">
        <f t="shared" si="10"/>
        <v>7.772717415</v>
      </c>
      <c r="D8" s="35">
        <f t="shared" si="10"/>
        <v>0</v>
      </c>
      <c r="E8" s="35">
        <f t="shared" si="10"/>
        <v>41.01070768</v>
      </c>
      <c r="F8" s="35">
        <f t="shared" si="10"/>
        <v>7.476376726</v>
      </c>
      <c r="G8" s="35">
        <f t="shared" si="10"/>
        <v>7.688569732</v>
      </c>
      <c r="H8" s="35">
        <f t="shared" si="10"/>
        <v>9.387347835</v>
      </c>
      <c r="I8" s="35">
        <f t="shared" si="10"/>
        <v>0</v>
      </c>
      <c r="J8" s="35">
        <f t="shared" si="10"/>
        <v>6.25823189</v>
      </c>
      <c r="K8" s="35">
        <f t="shared" si="10"/>
        <v>2.8098184</v>
      </c>
      <c r="L8" s="35">
        <f t="shared" si="10"/>
        <v>19.79644781</v>
      </c>
      <c r="M8" s="35">
        <f t="shared" si="10"/>
        <v>2.642226075</v>
      </c>
      <c r="N8" s="35">
        <f t="shared" si="10"/>
        <v>7.041278595</v>
      </c>
      <c r="O8" s="35" t="str">
        <f t="shared" si="10"/>
        <v>#DIV/0!</v>
      </c>
      <c r="P8" s="35">
        <f t="shared" si="10"/>
        <v>18029.22407</v>
      </c>
      <c r="Q8" s="35" t="str">
        <f t="shared" si="10"/>
        <v>#DIV/0!</v>
      </c>
      <c r="R8" s="35">
        <f t="shared" si="10"/>
        <v>25600.12204</v>
      </c>
      <c r="S8" s="35" t="str">
        <f t="shared" si="10"/>
        <v>#VALUE!</v>
      </c>
      <c r="T8" s="35" t="str">
        <f t="shared" si="10"/>
        <v>#VALUE!</v>
      </c>
      <c r="U8" s="35" t="str">
        <f t="shared" si="10"/>
        <v>#VALUE!</v>
      </c>
      <c r="V8" s="35" t="str">
        <f t="shared" si="10"/>
        <v>#DIV/0!</v>
      </c>
      <c r="W8" s="35" t="str">
        <f t="shared" si="10"/>
        <v>#DIV/0!</v>
      </c>
      <c r="X8" s="35" t="str">
        <f t="shared" si="10"/>
        <v>#DIV/0!</v>
      </c>
      <c r="Y8" s="35" t="str">
        <f t="shared" si="10"/>
        <v>#DIV/0!</v>
      </c>
      <c r="Z8" s="35" t="str">
        <f t="shared" si="10"/>
        <v>#DIV/0!</v>
      </c>
      <c r="AA8" s="341" t="str">
        <f t="shared" si="10"/>
        <v>#DIV/0!</v>
      </c>
      <c r="AB8" s="35" t="str">
        <f t="shared" si="10"/>
        <v>#DIV/0!</v>
      </c>
      <c r="AC8" s="35" t="str">
        <f t="shared" si="10"/>
        <v>#DIV/0!</v>
      </c>
      <c r="AD8" s="35" t="str">
        <f t="shared" si="10"/>
        <v>#DIV/0!</v>
      </c>
      <c r="AE8" s="35" t="str">
        <f t="shared" si="10"/>
        <v>#DIV/0!</v>
      </c>
      <c r="AF8" s="35" t="str">
        <f t="shared" si="10"/>
        <v>#DIV/0!</v>
      </c>
      <c r="AG8" s="240">
        <f t="shared" si="10"/>
        <v>2985.88626</v>
      </c>
    </row>
    <row r="10">
      <c r="A10" s="35" t="s">
        <v>303</v>
      </c>
      <c r="B10" s="35">
        <f>+B7*8.33</f>
        <v>6960.548</v>
      </c>
      <c r="C10" s="35">
        <f t="shared" ref="C10:AF10" si="11">+C6*C8</f>
        <v>83572.25764</v>
      </c>
      <c r="D10" s="35">
        <f t="shared" si="11"/>
        <v>0</v>
      </c>
      <c r="E10" s="35">
        <f t="shared" si="11"/>
        <v>554464.7678</v>
      </c>
      <c r="F10" s="35">
        <f t="shared" si="11"/>
        <v>48446.92119</v>
      </c>
      <c r="G10" s="35">
        <f t="shared" si="11"/>
        <v>43794.09319</v>
      </c>
      <c r="H10" s="35">
        <f t="shared" si="11"/>
        <v>22079.04211</v>
      </c>
      <c r="I10" s="35">
        <f t="shared" si="11"/>
        <v>0</v>
      </c>
      <c r="J10" s="35">
        <f t="shared" si="11"/>
        <v>9812.907603</v>
      </c>
      <c r="K10" s="35">
        <f t="shared" si="11"/>
        <v>1978.112153</v>
      </c>
      <c r="L10" s="35">
        <f t="shared" si="11"/>
        <v>98190.38116</v>
      </c>
      <c r="M10" s="35">
        <f t="shared" si="11"/>
        <v>4227.561721</v>
      </c>
      <c r="N10" s="35">
        <f t="shared" si="11"/>
        <v>88100.47778</v>
      </c>
      <c r="O10" s="35" t="str">
        <f t="shared" si="11"/>
        <v>#DIV/0!</v>
      </c>
      <c r="P10" s="35">
        <f t="shared" si="11"/>
        <v>725739154812</v>
      </c>
      <c r="Q10" s="35" t="str">
        <f t="shared" si="11"/>
        <v>#DIV/0!</v>
      </c>
      <c r="R10" s="35">
        <f t="shared" si="11"/>
        <v>1031061504023</v>
      </c>
      <c r="S10" s="35" t="str">
        <f t="shared" si="11"/>
        <v>#VALUE!</v>
      </c>
      <c r="T10" s="35" t="str">
        <f t="shared" si="11"/>
        <v>#VALUE!</v>
      </c>
      <c r="U10" s="35" t="str">
        <f t="shared" si="11"/>
        <v>#VALUE!</v>
      </c>
      <c r="V10" s="35" t="str">
        <f t="shared" si="11"/>
        <v>#DIV/0!</v>
      </c>
      <c r="W10" s="35" t="str">
        <f t="shared" si="11"/>
        <v>#DIV/0!</v>
      </c>
      <c r="X10" s="35" t="str">
        <f t="shared" si="11"/>
        <v>#DIV/0!</v>
      </c>
      <c r="Y10" s="35" t="str">
        <f t="shared" si="11"/>
        <v>#DIV/0!</v>
      </c>
      <c r="Z10" s="35" t="str">
        <f t="shared" si="11"/>
        <v>#DIV/0!</v>
      </c>
      <c r="AA10" s="35" t="str">
        <f t="shared" si="11"/>
        <v>#DIV/0!</v>
      </c>
      <c r="AB10" s="35" t="str">
        <f t="shared" si="11"/>
        <v>#DIV/0!</v>
      </c>
      <c r="AC10" s="35" t="str">
        <f t="shared" si="11"/>
        <v>#DIV/0!</v>
      </c>
      <c r="AD10" s="35" t="str">
        <f t="shared" si="11"/>
        <v>#DIV/0!</v>
      </c>
      <c r="AE10" s="35" t="str">
        <f t="shared" si="11"/>
        <v>#DIV/0!</v>
      </c>
      <c r="AF10" s="35" t="str">
        <f t="shared" si="11"/>
        <v>#DIV/0!</v>
      </c>
    </row>
    <row r="11">
      <c r="A11" s="35" t="s">
        <v>304</v>
      </c>
      <c r="B11" s="35">
        <v>24.0</v>
      </c>
      <c r="C11" s="35">
        <v>15.15</v>
      </c>
      <c r="D11" s="35">
        <v>16.05</v>
      </c>
      <c r="E11" s="35">
        <v>0.0</v>
      </c>
      <c r="F11" s="35">
        <v>0.0</v>
      </c>
      <c r="G11" s="35">
        <v>15.1</v>
      </c>
      <c r="H11" s="35">
        <v>0.0</v>
      </c>
      <c r="I11" s="35">
        <v>12.0</v>
      </c>
      <c r="J11" s="35">
        <v>13.4</v>
      </c>
      <c r="K11" s="35">
        <v>14.3</v>
      </c>
      <c r="L11" s="35">
        <v>6.3</v>
      </c>
      <c r="M11" s="35">
        <v>1.3</v>
      </c>
      <c r="N11" s="35">
        <v>0.0</v>
      </c>
      <c r="O11" s="35">
        <v>0.0</v>
      </c>
      <c r="P11" s="35">
        <v>0.0</v>
      </c>
      <c r="Q11" s="35">
        <v>0.0</v>
      </c>
      <c r="R11" s="35">
        <v>0.0</v>
      </c>
      <c r="S11" s="35">
        <v>0.0</v>
      </c>
      <c r="T11" s="35">
        <v>0.0</v>
      </c>
      <c r="U11" s="35">
        <v>0.0</v>
      </c>
      <c r="V11" s="35">
        <v>0.0</v>
      </c>
      <c r="W11" s="35">
        <v>0.0</v>
      </c>
      <c r="X11" s="35">
        <v>0.0</v>
      </c>
      <c r="Y11" s="35">
        <v>0.0</v>
      </c>
      <c r="Z11" s="35">
        <v>0.0</v>
      </c>
      <c r="AA11" s="35">
        <v>0.0</v>
      </c>
      <c r="AB11" s="35">
        <v>0.0</v>
      </c>
      <c r="AC11" s="35">
        <v>0.0</v>
      </c>
      <c r="AD11" s="35">
        <v>0.0</v>
      </c>
      <c r="AE11" s="35">
        <v>0.0</v>
      </c>
      <c r="AF11" s="35">
        <v>0.0</v>
      </c>
      <c r="AG11" s="339">
        <f t="shared" ref="AG11:AG12" si="12">SUM(B11:AF11)</f>
        <v>117.6</v>
      </c>
    </row>
    <row r="12">
      <c r="A12" s="35" t="s">
        <v>305</v>
      </c>
      <c r="B12" s="35">
        <v>0.0</v>
      </c>
      <c r="C12" s="35">
        <v>8.45</v>
      </c>
      <c r="D12" s="35">
        <v>7.55</v>
      </c>
      <c r="E12" s="35">
        <v>0.0</v>
      </c>
      <c r="F12" s="35">
        <v>0.0</v>
      </c>
      <c r="G12" s="35">
        <v>8.5</v>
      </c>
      <c r="H12" s="35">
        <v>0.0</v>
      </c>
      <c r="I12" s="35">
        <v>12.0</v>
      </c>
      <c r="J12" s="35">
        <v>10.2</v>
      </c>
      <c r="K12" s="35">
        <v>9.3</v>
      </c>
      <c r="L12" s="35">
        <v>17.3</v>
      </c>
      <c r="M12" s="35">
        <v>22.3</v>
      </c>
      <c r="N12" s="35">
        <v>0.0</v>
      </c>
      <c r="O12" s="35">
        <v>0.0</v>
      </c>
      <c r="P12" s="35">
        <v>0.0</v>
      </c>
      <c r="Q12" s="35">
        <v>0.0</v>
      </c>
      <c r="R12" s="35">
        <v>0.0</v>
      </c>
      <c r="S12" s="35">
        <v>0.0</v>
      </c>
      <c r="T12" s="35">
        <v>0.0</v>
      </c>
      <c r="U12" s="35">
        <v>0.0</v>
      </c>
      <c r="V12" s="35">
        <v>0.0</v>
      </c>
      <c r="W12" s="35">
        <v>0.0</v>
      </c>
      <c r="X12" s="35">
        <v>0.0</v>
      </c>
      <c r="Y12" s="35">
        <v>0.0</v>
      </c>
      <c r="Z12" s="35">
        <v>0.0</v>
      </c>
      <c r="AA12" s="35">
        <v>0.0</v>
      </c>
      <c r="AB12" s="35">
        <v>0.0</v>
      </c>
      <c r="AC12" s="35">
        <v>0.0</v>
      </c>
      <c r="AD12" s="35">
        <v>0.0</v>
      </c>
      <c r="AE12" s="35">
        <v>0.0</v>
      </c>
      <c r="AF12" s="35">
        <v>0.0</v>
      </c>
      <c r="AG12" s="339">
        <f t="shared" si="12"/>
        <v>95.6</v>
      </c>
    </row>
    <row r="13">
      <c r="B13" s="35">
        <f t="shared" ref="B13:AD13" si="13">+B11+B12</f>
        <v>24</v>
      </c>
      <c r="C13" s="35">
        <f t="shared" si="13"/>
        <v>23.6</v>
      </c>
      <c r="D13" s="35">
        <f t="shared" si="13"/>
        <v>23.6</v>
      </c>
      <c r="E13" s="35">
        <f t="shared" si="13"/>
        <v>0</v>
      </c>
      <c r="F13" s="35">
        <f t="shared" si="13"/>
        <v>0</v>
      </c>
      <c r="G13" s="35">
        <f t="shared" si="13"/>
        <v>23.6</v>
      </c>
      <c r="H13" s="35">
        <f t="shared" si="13"/>
        <v>0</v>
      </c>
      <c r="I13" s="35">
        <f t="shared" si="13"/>
        <v>24</v>
      </c>
      <c r="J13" s="35">
        <f t="shared" si="13"/>
        <v>23.6</v>
      </c>
      <c r="K13" s="35">
        <f t="shared" si="13"/>
        <v>23.6</v>
      </c>
      <c r="L13" s="35">
        <f t="shared" si="13"/>
        <v>23.6</v>
      </c>
      <c r="M13" s="35">
        <f t="shared" si="13"/>
        <v>23.6</v>
      </c>
      <c r="N13" s="35">
        <f t="shared" si="13"/>
        <v>0</v>
      </c>
      <c r="O13" s="35">
        <f t="shared" si="13"/>
        <v>0</v>
      </c>
      <c r="P13" s="35">
        <f t="shared" si="13"/>
        <v>0</v>
      </c>
      <c r="Q13" s="35">
        <f t="shared" si="13"/>
        <v>0</v>
      </c>
      <c r="R13" s="35">
        <f t="shared" si="13"/>
        <v>0</v>
      </c>
      <c r="S13" s="35">
        <f t="shared" si="13"/>
        <v>0</v>
      </c>
      <c r="T13" s="35">
        <f t="shared" si="13"/>
        <v>0</v>
      </c>
      <c r="U13" s="35">
        <f t="shared" si="13"/>
        <v>0</v>
      </c>
      <c r="V13" s="35">
        <f t="shared" si="13"/>
        <v>0</v>
      </c>
      <c r="W13" s="35">
        <f t="shared" si="13"/>
        <v>0</v>
      </c>
      <c r="X13" s="35">
        <f t="shared" si="13"/>
        <v>0</v>
      </c>
      <c r="Y13" s="35">
        <f t="shared" si="13"/>
        <v>0</v>
      </c>
      <c r="Z13" s="35">
        <f t="shared" si="13"/>
        <v>0</v>
      </c>
      <c r="AA13" s="35">
        <f t="shared" si="13"/>
        <v>0</v>
      </c>
      <c r="AB13" s="35">
        <f t="shared" si="13"/>
        <v>0</v>
      </c>
      <c r="AC13" s="35">
        <f t="shared" si="13"/>
        <v>0</v>
      </c>
      <c r="AD13" s="35">
        <f t="shared" si="13"/>
        <v>0</v>
      </c>
      <c r="AF13" s="35">
        <f>+AF11+AF12</f>
        <v>0</v>
      </c>
    </row>
    <row r="16">
      <c r="I16" s="35">
        <v>892.0</v>
      </c>
    </row>
    <row r="17">
      <c r="I17" s="35">
        <v>197.0</v>
      </c>
    </row>
    <row r="18">
      <c r="I18" s="35">
        <v>36.0</v>
      </c>
    </row>
    <row r="19">
      <c r="I19" s="35">
        <v>82.0</v>
      </c>
    </row>
    <row r="20">
      <c r="I20" s="35">
        <v>139.0</v>
      </c>
    </row>
    <row r="21" ht="15.75" customHeight="1"/>
    <row r="22" ht="15.75" customHeight="1">
      <c r="C22" s="24" t="s">
        <v>306</v>
      </c>
      <c r="D22" s="24" t="s">
        <v>307</v>
      </c>
      <c r="E22" s="24" t="s">
        <v>308</v>
      </c>
    </row>
    <row r="23" ht="15.75" customHeight="1">
      <c r="B23" s="36" t="s">
        <v>52</v>
      </c>
      <c r="C23" s="342">
        <v>45389.65</v>
      </c>
      <c r="D23" s="343">
        <f>56659.789-2162</f>
        <v>54497.789</v>
      </c>
      <c r="E23" s="29"/>
    </row>
    <row r="24" ht="15.75" customHeight="1">
      <c r="B24" s="36" t="s">
        <v>289</v>
      </c>
      <c r="C24" s="344">
        <v>1.414962655E8</v>
      </c>
      <c r="D24" s="36">
        <f>155897070-1005287</f>
        <v>154891783</v>
      </c>
      <c r="E24" s="29"/>
    </row>
    <row r="25" ht="15.75" customHeight="1">
      <c r="B25" s="36" t="s">
        <v>309</v>
      </c>
      <c r="C25" s="345">
        <f t="shared" ref="C25:D25" si="14">C24/C23</f>
        <v>3117.368508</v>
      </c>
      <c r="D25" s="36">
        <f t="shared" si="14"/>
        <v>2842.166368</v>
      </c>
      <c r="E25" s="132">
        <f>C25-D25</f>
        <v>275.2021405</v>
      </c>
      <c r="F25" s="4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71"/>
    <col customWidth="1" min="3" max="26" width="8.71"/>
  </cols>
  <sheetData>
    <row r="1">
      <c r="A1" s="49"/>
      <c r="B1" s="49"/>
      <c r="C1" s="49"/>
    </row>
    <row r="3">
      <c r="A3" s="35" t="s">
        <v>310</v>
      </c>
      <c r="B3" s="35" t="s">
        <v>93</v>
      </c>
    </row>
    <row r="4">
      <c r="A4" s="346">
        <v>46023.0</v>
      </c>
      <c r="B4" s="35">
        <v>0.0</v>
      </c>
      <c r="D4" s="347"/>
    </row>
    <row r="5">
      <c r="A5" s="346">
        <f t="shared" ref="A5:A34" si="1">A4+1</f>
        <v>46024</v>
      </c>
      <c r="B5" s="49">
        <v>1047.43</v>
      </c>
      <c r="D5" s="347"/>
      <c r="G5" s="49"/>
    </row>
    <row r="6">
      <c r="A6" s="346">
        <f t="shared" si="1"/>
        <v>46025</v>
      </c>
      <c r="B6" s="49">
        <v>1099.84</v>
      </c>
      <c r="D6" s="347"/>
      <c r="G6" s="49"/>
    </row>
    <row r="7">
      <c r="A7" s="346">
        <f t="shared" si="1"/>
        <v>46026</v>
      </c>
      <c r="B7" s="49">
        <v>799.18</v>
      </c>
      <c r="D7" s="347"/>
      <c r="G7" s="49"/>
    </row>
    <row r="8">
      <c r="A8" s="346">
        <f t="shared" si="1"/>
        <v>46027</v>
      </c>
      <c r="B8" s="49">
        <v>1166.82</v>
      </c>
      <c r="D8" s="347"/>
      <c r="G8" s="49"/>
    </row>
    <row r="9">
      <c r="A9" s="346">
        <f t="shared" si="1"/>
        <v>46028</v>
      </c>
      <c r="B9" s="49">
        <v>0.0</v>
      </c>
      <c r="D9" s="347"/>
      <c r="G9" s="49"/>
    </row>
    <row r="10">
      <c r="A10" s="346">
        <f t="shared" si="1"/>
        <v>46029</v>
      </c>
      <c r="B10" s="49">
        <v>0.0</v>
      </c>
      <c r="D10" s="347"/>
      <c r="G10" s="49"/>
    </row>
    <row r="11">
      <c r="A11" s="346">
        <f t="shared" si="1"/>
        <v>46030</v>
      </c>
      <c r="B11" s="49">
        <v>179.34</v>
      </c>
      <c r="D11" s="347"/>
      <c r="G11" s="49"/>
    </row>
    <row r="12">
      <c r="A12" s="346">
        <f t="shared" si="1"/>
        <v>46031</v>
      </c>
      <c r="B12" s="49">
        <v>1244.21</v>
      </c>
      <c r="D12" s="347"/>
      <c r="G12" s="49"/>
    </row>
    <row r="13">
      <c r="A13" s="346">
        <f t="shared" si="1"/>
        <v>46032</v>
      </c>
      <c r="B13" s="49"/>
      <c r="D13" s="347"/>
      <c r="G13" s="49"/>
    </row>
    <row r="14">
      <c r="A14" s="346">
        <f t="shared" si="1"/>
        <v>46033</v>
      </c>
      <c r="B14" s="49"/>
      <c r="D14" s="347"/>
      <c r="G14" s="49"/>
    </row>
    <row r="15">
      <c r="A15" s="346">
        <f t="shared" si="1"/>
        <v>46034</v>
      </c>
      <c r="B15" s="49"/>
      <c r="D15" s="347"/>
      <c r="G15" s="49"/>
    </row>
    <row r="16">
      <c r="A16" s="346">
        <f t="shared" si="1"/>
        <v>46035</v>
      </c>
      <c r="B16" s="49"/>
      <c r="D16" s="347"/>
      <c r="G16" s="49"/>
    </row>
    <row r="17">
      <c r="A17" s="346">
        <f t="shared" si="1"/>
        <v>46036</v>
      </c>
      <c r="B17" s="49"/>
      <c r="D17" s="347"/>
      <c r="G17" s="49"/>
    </row>
    <row r="18">
      <c r="A18" s="346">
        <f t="shared" si="1"/>
        <v>46037</v>
      </c>
      <c r="B18" s="49"/>
      <c r="D18" s="347"/>
      <c r="E18" s="49"/>
      <c r="G18" s="49"/>
    </row>
    <row r="19">
      <c r="A19" s="346">
        <f t="shared" si="1"/>
        <v>46038</v>
      </c>
      <c r="B19" s="49"/>
      <c r="D19" s="347"/>
      <c r="G19" s="49"/>
    </row>
    <row r="20">
      <c r="A20" s="346">
        <f t="shared" si="1"/>
        <v>46039</v>
      </c>
      <c r="B20" s="49"/>
      <c r="D20" s="347"/>
      <c r="G20" s="49"/>
    </row>
    <row r="21" ht="15.75" customHeight="1">
      <c r="A21" s="346">
        <f t="shared" si="1"/>
        <v>46040</v>
      </c>
      <c r="B21" s="49"/>
      <c r="D21" s="347"/>
      <c r="G21" s="49"/>
    </row>
    <row r="22" ht="15.75" customHeight="1">
      <c r="A22" s="346">
        <f t="shared" si="1"/>
        <v>46041</v>
      </c>
      <c r="B22" s="49"/>
      <c r="D22" s="347"/>
      <c r="G22" s="49"/>
    </row>
    <row r="23" ht="15.75" customHeight="1">
      <c r="A23" s="346">
        <f t="shared" si="1"/>
        <v>46042</v>
      </c>
      <c r="B23" s="49"/>
      <c r="D23" s="347"/>
      <c r="G23" s="49"/>
    </row>
    <row r="24" ht="15.75" customHeight="1">
      <c r="A24" s="346">
        <f t="shared" si="1"/>
        <v>46043</v>
      </c>
      <c r="B24" s="49"/>
      <c r="D24" s="347"/>
      <c r="G24" s="49"/>
    </row>
    <row r="25" ht="15.75" customHeight="1">
      <c r="A25" s="346">
        <f t="shared" si="1"/>
        <v>46044</v>
      </c>
      <c r="B25" s="49"/>
      <c r="D25" s="347"/>
      <c r="G25" s="49"/>
    </row>
    <row r="26" ht="15.75" customHeight="1">
      <c r="A26" s="346">
        <f t="shared" si="1"/>
        <v>46045</v>
      </c>
      <c r="B26" s="49"/>
      <c r="D26" s="347"/>
      <c r="G26" s="49"/>
    </row>
    <row r="27" ht="15.75" customHeight="1">
      <c r="A27" s="346">
        <f t="shared" si="1"/>
        <v>46046</v>
      </c>
      <c r="B27" s="49"/>
      <c r="D27" s="347"/>
      <c r="G27" s="49"/>
    </row>
    <row r="28" ht="15.75" customHeight="1">
      <c r="A28" s="346">
        <f t="shared" si="1"/>
        <v>46047</v>
      </c>
      <c r="B28" s="49"/>
      <c r="D28" s="347"/>
      <c r="G28" s="49"/>
    </row>
    <row r="29" ht="15.75" customHeight="1">
      <c r="A29" s="346">
        <f t="shared" si="1"/>
        <v>46048</v>
      </c>
      <c r="B29" s="49"/>
      <c r="D29" s="347"/>
      <c r="G29" s="49"/>
    </row>
    <row r="30" ht="15.75" customHeight="1">
      <c r="A30" s="346">
        <f t="shared" si="1"/>
        <v>46049</v>
      </c>
      <c r="B30" s="49"/>
    </row>
    <row r="31" ht="15.75" customHeight="1">
      <c r="A31" s="346">
        <f t="shared" si="1"/>
        <v>46050</v>
      </c>
      <c r="B31" s="49"/>
    </row>
    <row r="32" ht="15.75" customHeight="1">
      <c r="A32" s="346">
        <f t="shared" si="1"/>
        <v>46051</v>
      </c>
      <c r="B32" s="49"/>
    </row>
    <row r="33" ht="15.75" customHeight="1">
      <c r="A33" s="346">
        <f t="shared" si="1"/>
        <v>46052</v>
      </c>
      <c r="B33" s="49"/>
    </row>
    <row r="34" ht="15.75" customHeight="1">
      <c r="A34" s="346">
        <f t="shared" si="1"/>
        <v>46053</v>
      </c>
      <c r="B34" s="49">
        <v>0.0</v>
      </c>
    </row>
    <row r="35" ht="15.75" customHeight="1">
      <c r="A35" s="35" t="s">
        <v>311</v>
      </c>
      <c r="B35" s="49">
        <f>SUM(B5:B34)</f>
        <v>5536.82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CHOYAL</dc:creator>
</cp:coreProperties>
</file>